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<sst xmlns="http://schemas.openxmlformats.org/spreadsheetml/2006/main" count="2582" uniqueCount="325">
  <si>
    <t>ORIGEN</t>
  </si>
  <si>
    <t>NRO.</t>
  </si>
  <si>
    <t>AÑO</t>
  </si>
  <si>
    <t>TIPO</t>
  </si>
  <si>
    <t>CARÁTULA</t>
  </si>
  <si>
    <t>NRO. DAE / DADO CUENTA</t>
  </si>
  <si>
    <t>CADUCA</t>
  </si>
  <si>
    <t>ARCHIVO</t>
  </si>
  <si>
    <t>MESA DE ENTRADAS</t>
  </si>
  <si>
    <t>PRONTO DESPACHO</t>
  </si>
  <si>
    <t>FECHA INGRESO DICTAMEN</t>
  </si>
  <si>
    <t>DIR. COMISIONES</t>
  </si>
  <si>
    <t>MOCIÓN DE PREFERENCIA</t>
  </si>
  <si>
    <t>AUTOR</t>
  </si>
  <si>
    <t>GIRO1</t>
  </si>
  <si>
    <t>COMISION1</t>
  </si>
  <si>
    <t>FECHA_INGRESO1</t>
  </si>
  <si>
    <t>FECHA_EGRESO1</t>
  </si>
  <si>
    <t>GIRO2</t>
  </si>
  <si>
    <t>COMISION2</t>
  </si>
  <si>
    <t>FECHA_INGRESO2</t>
  </si>
  <si>
    <t>FECHA_EGRESO2</t>
  </si>
  <si>
    <t>GIRO3</t>
  </si>
  <si>
    <t>COMISION3</t>
  </si>
  <si>
    <t>FECHA_INGRESO3</t>
  </si>
  <si>
    <t>FECHA_EGRESO3</t>
  </si>
  <si>
    <t>GIRO4</t>
  </si>
  <si>
    <t>COMISION4</t>
  </si>
  <si>
    <t>FECHA_INGRESO4</t>
  </si>
  <si>
    <t>FECHA_EGRESO4</t>
  </si>
  <si>
    <t>GIRO5</t>
  </si>
  <si>
    <t>COMISION5</t>
  </si>
  <si>
    <t>FECHA_INGRESO5</t>
  </si>
  <si>
    <t>FECHA_EGRESO5</t>
  </si>
  <si>
    <t>ORDEN DEL DÍA</t>
  </si>
  <si>
    <t>SANCIONES/SITUACIÓN EXP</t>
  </si>
  <si>
    <t>LEY – FECHA</t>
  </si>
  <si>
    <t>COMUNICACIÓN</t>
  </si>
  <si>
    <t>FECHA_ARCHIVO</t>
  </si>
  <si>
    <t>PE</t>
  </si>
  <si>
    <t>AC</t>
  </si>
  <si>
    <t>MENSAJE N° 250/26 QUE SOLICITA ACUERDO PARA DESIGNAR JUEZ PENAL FEDERAL DEL JUZGADO FEDERAL DE GARANTIAS CON ASIENTO EN LA CIUDAD DE ROSARIO, PROVINCIA DE SANTA FE, AL DR. FRANCO MARIANO CARBONE.</t>
  </si>
  <si>
    <t xml:space="preserve"> 27  -</t>
  </si>
  <si>
    <t xml:space="preserve"> 05/08/2026 -</t>
  </si>
  <si>
    <t xml:space="preserve">  -</t>
  </si>
  <si>
    <t>DE ACUERDOS</t>
  </si>
  <si>
    <t>05/08/2026</t>
  </si>
  <si>
    <t xml:space="preserve">              </t>
  </si>
  <si>
    <t xml:space="preserve"> - </t>
  </si>
  <si>
    <t>MENSAJE N° 249/26 QUE SOLICITA ACUERDO PARA DESIGNAR JUEZA DEL JUZGADO FEDERAL DE PRIMERA INSTANCIA DE LA SEGURIDAD SOCIAL N° 8 DE LA CAPITAL FEDERAL, A LA DRA. MARIA DE LOS ANGELES SAPIN.</t>
  </si>
  <si>
    <t>MENSAJE N° 248/26 QUE SOLICITA ACUERDO PARA DESIGNAR JUEZA DEL JUZGADO FEDERAL DE PRIMERA INSTANCIA DE LA SEGURIDAD SOCIAL N° 6 DE LA CAPITAL FEDERAL, A LA DRA. VALERIA ALICIA BERTOLINI.</t>
  </si>
  <si>
    <t>MENSAJE N° 247/26 QUE SOLICITA ACUERDO PARA DESIGNAR JUEZ DE CAMARA DEL TRIBUNAL ORAL EN LO CRIMINAL Y CORRECCIONAL N° 30 DE LA CAPITAL FEDERAL, AL DR. ARIEL ALEJANDRO VILAR.</t>
  </si>
  <si>
    <t>MENSAJE N° 246/26 QUE SOLICITA ACUERDO PARA DESIGNAR JUEZ DE CAMARA DEL TRIBUNAL ORAL EN LO PENAL ECONOMICO N° 2 DE LA CAPITAL FEDERAL, AL DR. FEDERICO JOSE IUSPA.</t>
  </si>
  <si>
    <t>MENSAJE N° 245/26 QUE SOLICITA ACUERDO PARA DESIGNAR DEFENSORA AUXILIAR DE LA DEFENSORIA GENERAL DE LA NACION, A LA DRA. ROMINA SOLEDAD PARABONI.</t>
  </si>
  <si>
    <t>MENSAJE N° 244/26 QUE SOLICITA ACUERDO PARA DESIGNAR DEFENSORA PUBLICA OFICIAL ANTE LOS JUZGADOS NACIONALES EN LO CRIMINAL Y CORRECCIONAL Y ANTE LA CAMARA NACIONAL DE APELACIONES EN LO CRIMINAL Y CORRECCIONAL DE LA CAPITAL FEDERAL, DEFENSORIA N° 12, A LA DRA. MARIA LUCRECIA SAMMARTINO.</t>
  </si>
  <si>
    <t xml:space="preserve">MENSAJE N° 243/26 QUE SOLICITA ACUERDO PARA DESIGNAR JUEZ PENAL FEDERAL DEL JUZGADO FEDERAL DE GARANTIAS CON ASIENTO EN LA CIUDAD DE SAN LORENZO, PROVINCIA DE SANTA FE, AL DR. EMILIANO PEDRO MENDEZ ORTIZ.
</t>
  </si>
  <si>
    <t xml:space="preserve"> 26  -</t>
  </si>
  <si>
    <t xml:space="preserve"> 03/08/2026 -</t>
  </si>
  <si>
    <t>03/08/2026</t>
  </si>
  <si>
    <t xml:space="preserve">MENSAJE N° 242/26 QUE SOLICITA ACUERDO A FIN DE POSIBILITAR UN NUEVO NOMBRAMIENTO DEL FISCAL GENERAL ANTE LOS TRIBUNALES ORALES DE MENORES DE LA CAPITAL FEDERAL, FISCALIA N° 2, A LA DRA. SUSANA MARTA PERNAS.
</t>
  </si>
  <si>
    <t xml:space="preserve">MENSAJE N° 241/26 QUE SOLICITA ACUERDO PARA DESIGNAR FISCAL FEDERAL DE LA SEDE FISCAL DESCENTRALIZADA DE CALETA OLIVIA, PROVINCIA DE SANTA CRUZ, AL DR. LUCAS ALBERTO COLLA.
</t>
  </si>
  <si>
    <t xml:space="preserve">MENSAJE N° 240/26 QUE SOLICITA ACUERDO PARA DESIGNAR FISCAL ANTE EL JUZGADO FEDERAL DE PRIMERA INSTANCIA EN LO CIVIL, COMERCIAL Y CONTENCIOSO ADMINISTRATIVO DE POSADAS, PROVINCIA DE MISIONES, FISCALIA N° 2, AL DR. ARLINDO OTTO KURTZ.
</t>
  </si>
  <si>
    <t xml:space="preserve">MENSAJE N° 239/26 QUE SOLICITA ACUERDO PARA DESIGNAR FISCAL ANTE LOS JUZGADOS NACIONALES EN LO CRIMINAL Y CORRECCIONAL DE LA CAPITAL FEDERAL, FISCALIA N° 45, A LA DRA. DANIELA ROMINA PART.
</t>
  </si>
  <si>
    <t xml:space="preserve">MENSAJE N° 238/26 QUE SOLICITA ACUERDO PARA DESIGNAR VOCAL DE LA CAMARA NACIONAL DE APELACIONES EN LO COMERCIAL DE LA CAPITAL FEDERAL, SALA E, AL DR. FERNANDO GABRIEL D´ALESSANDRO.
</t>
  </si>
  <si>
    <t xml:space="preserve">MENSAJE N° 235/26 QUE SOLICITA ACUERDO PARA DESIGNAR FISCAL ANTE LOS JUZGADOS NACIONALES EN LO CRIMINAL Y CORRECCIONAL DE LA CAPITAL FEDERAL, FISCALIA N° 49, A LA DRA. MARIA NOEL FERNANDEZ RIVERA.
</t>
  </si>
  <si>
    <t xml:space="preserve">MENSAJE N° 234/26 QUE SOLICITA ACUERDO PARA DESIGNAR FISCAL ANTE LOS JUZGADOS NACIONALES EN LO CRIMINAL Y CORRECCIONAL DE LA CAPITAL FEDERAL, FISCALIA N° 55, A LA DRA. ALEJANDRA LEONOR PEREZ.
</t>
  </si>
  <si>
    <t xml:space="preserve">MENSAJE N° 233/26 QUE SOLICITA ACUERDO PARA DESIGNAR FISCAL ANTE LOS JUZGADOS NACIONALES EN LO CRIMINAL Y CORRECCIONAL DE LA CAPITAL FEDERAL, FISCALIA N° 60, AL DR. GABRIEL ESTEBAN PARAMOS.
</t>
  </si>
  <si>
    <t xml:space="preserve">MENSAJE N° 232/26 QUE SOLICITA ACUERDO PARA DESIGNAR FISCAL ANTE LOS JUZGADOS NACIONALES EN LO CRIMINAL Y CORRECCIONAL DE LA CAPITAL FEDERAL, FISCALIA N° 11, AL DR. SEBASTIAN EDUARDO MARTINEZ.
</t>
  </si>
  <si>
    <t xml:space="preserve">MENSAJE N° 231/26 QUE SOLICITA ACUERDO PARA DESIGNAR FISCAL ANTE LOS JUZGADOS NACIONALES EN LO CRIMINAL Y CORRECCIONAL DE LA CAPITAL FEDERAL, FISCALIA N° 38, AL DR. GUSTAVO AMELOTTI.
</t>
  </si>
  <si>
    <t xml:space="preserve">MENSAJE N° 230/26 QUE SOLICITA ACUERDO PARA DESIGNAR FISCAL ANTE LOS JUZGADOS NACIONALES EN LO CRIMINAL Y CORRECCIONAL DE LA CAPITAL FEDERAL, FISCALIA N° 53, AL DR. FACUNDO JESUS SORIANO.
</t>
  </si>
  <si>
    <t xml:space="preserve">MENSAJE N° 229/26 QUE SOLICITA ACUERDO PARA DESIGNAR FISCAL ANTE LOS JUZGADOS NACIONALES EN LO CRIMINAL Y CORRECCIONAL DE LA CAPITAL FEDERAL, FISCALIA N° 18, AL DR. EDUARDO MIGUEL ROCCHI.
</t>
  </si>
  <si>
    <t xml:space="preserve">MENSAJE N° 228/26 QUE SOLICITA ACUERDO PARA DESIGNAR DEFENSOR PUBLICO DE VICTIMA CON ASIENTO EN LA PROVINCIA DE MENDOZA AL DR. SANTIAGO BAHAMONDES.
</t>
  </si>
  <si>
    <t xml:space="preserve">MENSAJE N° 227/26 QUE SOLICITA ACUERDO PARA DESIGNAR DEFENSORA PUBLICA DE MENORES E INCAPACES ANTE LOS TRIBUNALES ORALES EN LO CRIMINAL Y CORRECCIONAL DE LA CAPITAL FEDERAL, DEFENSORIA N°3 A LA DRA. CAROLINA MORALES DEGANUT.
</t>
  </si>
  <si>
    <t xml:space="preserve">MENSAJE N° 222/26 QUE SOLICITA ACUERDO PARA DESIGNAR CONJUECES DE LOS JUZGADOS NACIONALES DE PRIMERA INSTANCIA DEL TRABAJO DE LA JURISDICCION DE LA CAMARA NACIONAL DE APELACIONES DEL TRABAJO DE LA CAPITAL FEDERAL.
</t>
  </si>
  <si>
    <t xml:space="preserve"> 25  -</t>
  </si>
  <si>
    <t xml:space="preserve"> 17/07/2026 -</t>
  </si>
  <si>
    <t>17/07/2026</t>
  </si>
  <si>
    <t xml:space="preserve">MENSAJE N° 221/26 QUE SOLICITA ACUERDO PARA DESIGNAR CONJUECES DE LOS TRIBUNALES ORALES EN LO CRIMINAL Y CORRECCIONAL DE LA CAPITAL FEDERAL.
</t>
  </si>
  <si>
    <t>MENSAJE N° 218/26 QUE SOLICITA ACUERDO PARA DESIGNAR JUEZ DE CAMARA DEL TRIBUNAL ORAL EN LO CRIMINAL FEDERAL N° 6 DE LA CAPITAL FEDERAL, AL DR. RAMIRO VELASCO.</t>
  </si>
  <si>
    <t xml:space="preserve"> 24 16/07/2026 -</t>
  </si>
  <si>
    <t xml:space="preserve"> 13/07/2026 -</t>
  </si>
  <si>
    <t>13/07/2026</t>
  </si>
  <si>
    <t>MENSAJE N° 217/26 QUE SOLICITA ACUERDO PARA DESIGNAR JUEZA DE CAMARA DEL TRIBUNAL ORAL EN LO CRIMINAL FEDERAL N° 4 DE LA CAPITAL FEDERAL, A LA DRA. VALERIA ALEJANDRA RICO.</t>
  </si>
  <si>
    <t xml:space="preserve">MENSAJE N° 216/26 QUE SOLICITA ACUERDO PARA DESIGNAR VOCAL DE LA CAMARA NACIONAL DE APELACIONES EN LO CRIMINAL Y CORRECCIONAL FEDERAL DE LA CAPITAL FEDERAL, SALA I, AL DR. PABLO YADAROLA.
</t>
  </si>
  <si>
    <t>MENSAJE N° 215/26 QUE SOLICITA ACUERDO PARA DESIGNAR JUEZ DEL JUZGADO NACIONAL DE PRIMERA INSTANCIA EN LO CIVIL N° 26 DE LA CAPITAL FEDERAL, AL DR. SERGIO BUITRAGO.</t>
  </si>
  <si>
    <t xml:space="preserve">MENSAJE N° 214/26 QUE SOLICITA ACUERDO PARA DESIGNAR VOCAL DE LA CAMARA NACIONAL DE APELACIONES EN LO CRIMINAL Y CORRECCIONAL FEDERAL DE LA CAPITAL FEDERAL, SALA I, AL DR. PABLO DANIEL BERTUZZI.
</t>
  </si>
  <si>
    <t xml:space="preserve">MENSAJE N° 213/26 QUE SOLICITA ACUERDO PARA DESIGNAR JUEZ DE CAMARA DEL TRIBUNAL ORAL EN LO CRIMINAL FEDERAL N° 6 DE LA CAPITAL FEDERAL, AL DR. SANTIAGO JUAN SCHIOPETTO.
</t>
  </si>
  <si>
    <t xml:space="preserve">MENSAJE N° 211/26 QUE SOLICITA ACUERDO PARA DESIGNAR FISCAL ANTE LOS JUZGADOS NACIONALES EN LO CRIMINAL Y CORRECCIONAL DE LA CAPITAL FEDERAL, FISCALIA N° 27, A LA DRA. ORNELLA ROMINA RIGGITANO.
</t>
  </si>
  <si>
    <t xml:space="preserve"> 23 16/07/2026 -</t>
  </si>
  <si>
    <t xml:space="preserve"> 25/06/2026 -</t>
  </si>
  <si>
    <t>25/06/2026</t>
  </si>
  <si>
    <t xml:space="preserve">MENSAJE N° 210/26 QUE SOLICITA ACUERDO PARA DESIGNAR FISCAL ANTE LOS JUZGADOS NACIONALES EN LO CRIMINAL Y CORRECCIONAL DE LA CAPITAL FEDERAL, FISCALIA N° 7, AL DR. MATIAS EZEQUIEL EIDEM.
</t>
  </si>
  <si>
    <t xml:space="preserve">MENSAJE N° 209/26 QUE SOLICITA ACUERDO PARA DESIGNAR JUEZ DEL JUZGADO NACIONAL DE PRIMERA INSTANCIA EN LO CONTENCIOSO ADMINISTRATIVO FEDERAL N° 7 DE LA CAPITAL FEDERAL, AL DR. LEONARDO MARCO TOIA.
</t>
  </si>
  <si>
    <t xml:space="preserve">MENSAJE N° 208/26 QUE SOLICITA ACUERDO PARA DESIGNAR FISCAL ANTE LOS JUZGADOS NACIONALES EN LO CRIMINAL Y CORRECCIONAL DE LA CAPITAL FEDERAL, FISCALIA N° 35, AL DR. JUAN NOEL VARELA.
</t>
  </si>
  <si>
    <t xml:space="preserve">MENSAJE N° 207/26 QUE SOLICITA ACUERDO PARA DESIGNAR FISCAL ANTE LOS JUZGADOS NACIONALES EN LO CRIMINAL Y CORRECCIONAL DE LA CAPITAL FEDERAL, FISCALIA N° 43, A LA DRA. PATRICIA LUJAN CISNERO.
</t>
  </si>
  <si>
    <t xml:space="preserve">MENSAJE N° 206/26 QUE SOLICITA ACUERDO PARA DESIGNAR FISCAL ANTE LOS JUZGADOS NACIONALES EN LO CRIMINAL Y CORRECCIONAL DE LA CAPITAL FEDERAL, FISCALIA N° 3, AL DR. DANIEL FERNANDO CANO.
</t>
  </si>
  <si>
    <t xml:space="preserve">MENSAJE N° 205/26 QUE SOLICITA ACUERDO PARA DESIGNAR DEFENSOR PUBLICO OFICIAL ANTE LOS TRIBUNALES ORALES EN LO CRIMINAL Y CORRECCIONAL DE LA CAPITAL FEDERAL, DEFENSORIA N° 6, AL DR. ESTEBAN JOSE CHERVIN.
</t>
  </si>
  <si>
    <t xml:space="preserve">MENSAJE N° 204/26 QUE SOLICITA ACUERDO PARA DESIGNAR DEFENSOR PUBLICO OFICIAL ANTE LOS TRIBUNALES ORALES EN LO CRIMINAL FEDERAL DE LA PLATA, PROV. DE BUENOS AIRES, DEFENSORIA N° 2, AL DR. LEANDRO GASTON.
</t>
  </si>
  <si>
    <t xml:space="preserve">MENSAJE N° 203/26 QUE SOLICITA ACUERDO PARA DESIGNAR JUEZA DE CAMARA DEL TRIBUNAL ORAL EN LO CRIMINAL FEDERAL DE CATAMARCA, PROV. DE CATAMARCA, A LA DRA. MARIA VIRGINIA MIGUEL CARMONA.
</t>
  </si>
  <si>
    <t xml:space="preserve">MENSAJE N° 202/26 QUE SOLICITA ACUERDO PARA DESIGNAR VOCAL DE LA CAMARA FEDERAL DE APELACIONES DE CORDOBA, PROV. DE CORDOBA, SALA A, A LA DRA. MARIA SOLEDAD MANCINI.
</t>
  </si>
  <si>
    <t>MENSAJE N° 201/26 QUE SOLICITA ACUERDO PARA DESIGNAR JUEZ DEL JUZGADO NACIONAL DE PRIMERA INSTANCIA EN LO CIVIL N° 22 DE LA CAPITAL FEDERAL, AL DR. JUAN SANTIAGO YLARRI.</t>
  </si>
  <si>
    <t>MENSAJE N° 200/26 QUE SOLICITA ACUERDO PARA DESIGNAR JUEZ DE CAMARA DEL TRIBUNAL ORAL EN LO CRIMINAL Y CORRECCIONAL N° 19 DE LA CAPITAL FEDERAL, AL DR. PABLO CESAR CINA.</t>
  </si>
  <si>
    <t>MENSAJE N° 199/26 QUE SOLICITA ACUERDO PARA DESIGNAR JUEZ DEL JUZGADO NACIONAL DE PRIMERA INSTANCIA EN LO COMERCIAL N° 23 DE LA CAPITAL FEDERAL, AL DR. JUAN PABLO ANGEL SALA.</t>
  </si>
  <si>
    <t>MENSAJE N° 198/26 QUE SOLICITA ACUERDO PARA DESIGNAR JUEZ DE CAMARA DEL TRIBUNAL ORAL EN LO CRIMINAL Y CORRECCIONAL N° 12 DE LA CAPITAL FEDERAL, AL DR. WALTER ALFREDO CAVASSA.</t>
  </si>
  <si>
    <t>MENSAJE N° 197/26 QUE SOLICITA ACUERDO PARA DESIGNAR FISCAL GENERAL ADJUNTO ANTE LA CAMARA NACIONAL DE APELACIONES DEL TRABAJO DE LA CAPITAL FEDERAL, AL DR. GERMAN HELVIO QUEIPO.</t>
  </si>
  <si>
    <t>MENSAJE N° 196/26 QUE SOLICITA ACUERDO PARA DESIGNAR DEFENSORA PUBLICA OFICIAL ANTE EL JUZGADO FEDERAL DE PRIMERA INSTANCIA DE DOLORES, PROV. DE BUENOS AIRES, A LA DRA. PAULA INES LO GIOIA.</t>
  </si>
  <si>
    <t>MENSAJE N° 195/26 QUE SOLICITA ACUERDO PARA DESIGNAR DEFENSOR PUBLICO OFICIAL FEDERAL DEL INTERIOR DEL PAIS CON ASIENTO EN LA CDAD. DE SALTA, PROV. DE SALTA, AL DR. CARLOS NICOLAS ESCANDAR.</t>
  </si>
  <si>
    <t>MENSAJE N° 194/26 QUE SOLICITA ACUERDO PARA DESIGNAR VOCAL DE LA CAMARA FEDERAL DE APELACIONES DE CORDOBA, PROV. DE CORDOBA, SALA B, AL DR. FACUNDO CARLOS CORTES.</t>
  </si>
  <si>
    <t>MENSAJE N° 193/26 QUE SOLICITA ACUERDO PARA DESIGNAR VOCAL DE LA CAMARA NACIONAL DE APELACIONES EN LO COMERCIAL DE LA CAPITAL FEDERAL, SALA C, A LA DRA. VALERIA PÉREZ CASADO.</t>
  </si>
  <si>
    <t>MENSAJE N° 192/26 QUE SOLICITA ACUERDO PARA DESIGNAR JUEZ DEL JUZGADO NACIONAL EN LO CRIMINAL Y CORRECCIONAL N° 38 DE LA CAPITAL FEDERAL, AL DR. ADOLFO OMAR PIENDIBENE.</t>
  </si>
  <si>
    <t>MENSAJE N° 191/26 QUE SOLICITA ACUERDO PARA DESIGNAR JUEZ DEL JUZGADO NACIONAL EN LO CRIMINAL Y CORRECCIONAL N° 30 DE LA CAPITAL FEDERAL, AL DR. FEDERICO ALFREDO BATTILANA.</t>
  </si>
  <si>
    <t>MENSAJE N° 190/26 QUE SOLICITA ACUERDO PARA DESIGNAR VOCAL DE LA CAMARA FEDERAL DE APELACIONES DE SAN JUSTO, PROVINCIA DE BUENOS AIRES, AL DR. ANDRES GUILLERMO FRAGA.</t>
  </si>
  <si>
    <t xml:space="preserve"> 21 16/07/2026 -</t>
  </si>
  <si>
    <t xml:space="preserve"> 04/06/2026 -</t>
  </si>
  <si>
    <t>04/06/2026</t>
  </si>
  <si>
    <t>MENSAJE N° 188/26 QUE SOLICITA ACUERDO PARA DESIGNAR JUEZA DEL JUZGADO NACIONAL DE PRIMERA INSTANCIA EN LO CIVIL N° 69 DE LA CAPITAL FEDERAL, A LA DRA. KARINA GABRIELA RAPKINAS.</t>
  </si>
  <si>
    <t xml:space="preserve">MENSAJE N° 186/26, QUE SOLICITA EL RETIRO DEL MENSAJE Nº 42/26 POR EL CUAL SE SOLICITA ACUERDO PARA DESIGNAR JUEZA DE CAMARA DEL TRIBUNAL ORAL EN LO CRIMINAL FEDERAL N° 3 DE LA PLATA, PROVINCIA DE BUENOS AIRES, A LA DRA. MARIA VERONICA MICHELLI. 
(REF. P.E. 31/26)
</t>
  </si>
  <si>
    <t xml:space="preserve"> 20 04/06/2026 -</t>
  </si>
  <si>
    <t xml:space="preserve"> 27/05/2026 -</t>
  </si>
  <si>
    <t xml:space="preserve"> 28/05/2026 -</t>
  </si>
  <si>
    <t>28/05/2026</t>
  </si>
  <si>
    <t xml:space="preserve">MENSAJE N° 185/26 QUE SOLICITA ACUERDO PARA DESIGNAR JUEZ DEL JUZGADO NACIONAL EN LO CRIMINAL Y CORRECCIONAL N° 27 DE LA CAPITAL FEDERAL, AL DR. MIGUEL ANGEL ASTURIAS
</t>
  </si>
  <si>
    <t>MENSAJE N° 184/26 QUE SOLICITA ACUERDO PARA DESIGNAR JUEZ DE CAMARA DEL TRIBUNAL ORAL EN LO CRIMINAL Y CORRECCIONAL N° 9 DE LA CAPITAL FEDERAL, AL DR. MARIANO ADOLFO KLUMPP</t>
  </si>
  <si>
    <t>04/08/2026</t>
  </si>
  <si>
    <t xml:space="preserve"> 01/07/2026 -</t>
  </si>
  <si>
    <t>01/07/2026</t>
  </si>
  <si>
    <t xml:space="preserve">AP  16/07/2026            </t>
  </si>
  <si>
    <t xml:space="preserve">MENSAJE N° 183/26 QUE SOLICITA ACUERDO PARA DESIGNAR JUEZ DEL JUZGADO NACIONAL EN LO CRIMINAL Y CORRECCIONAL N° 42 DE LA CAPITAL FEDERAL, AL DR. DIEGO ANDRES VILLANUEVA.  </t>
  </si>
  <si>
    <t>MENSAJE N° 182/26 QUE SOLICITA ACUERDO PARA DESIGNAR JUEZA DEL JUZGADO FEDERAL DE PRIMERA INSTANCIA DE LA SEGURIDAD SOCIAL N° 5 DE LA CAPITAL FEDERAL, A LA DRA. MARIA GABRIELA JANEIRO.</t>
  </si>
  <si>
    <t>MENSAJE N° 177/26 QUE SOLICITA ACUERDO PARA DESIGNAR JUEZ DE CAMARA DEL TRIBUNAL ORAL EN LO CRIMINAL Y CORRECCIONAL N° 14 DE LA CAPITAL FEDERAL, AL DR. JOSE IGNACIO POLIZZA.</t>
  </si>
  <si>
    <t xml:space="preserve"> 19 04/06/2026 -</t>
  </si>
  <si>
    <t xml:space="preserve"> 19/05/2026 -</t>
  </si>
  <si>
    <t>19/05/2026</t>
  </si>
  <si>
    <t>MENSAJE N° 176/26 QUE SOLICITA ACUERDO PARA DESIGNAR JUEZA DEL TRIBUNAL FEDERAL DE JUICIO DE COMODORO RIVADAVIA, PROV. DEL CHUBUT, A LA DRA. ANGELA CECILIA PAGANO MATA.</t>
  </si>
  <si>
    <t>MENSAJE N° 175/26 QUE SOLICITA ACUERDO PARA DESIGNAR JUEZ DEL JUZGADO NACIONAL EN LO CRIMINAL Y CORRECCIONAL N° 54 DE LA CAPITAL FEDERAL, AL DR. RAMIRO ARIEL MARIÑO.</t>
  </si>
  <si>
    <t>MENSAJE N° 174/26 QUE SOLICITA ACUERDO PARA DESIGNAR VOCAL DE LA CAMARA NACIONAL DE APELACIONES EN LO COMERCIAL DE LA CAPITAL FEDERAL, SALA C, AL DR. JAVIER JORGE COSENTINO.</t>
  </si>
  <si>
    <t xml:space="preserve"> 18 04/06/2026 -</t>
  </si>
  <si>
    <t xml:space="preserve"> 15/05/2026 -</t>
  </si>
  <si>
    <t>15/05/2026</t>
  </si>
  <si>
    <t>MENSAJE N° 173/26 QUE SOLICITA ACUERDO PARA DESIGNAR VOCAL DE LA CAMARA FEDERAL DE APELACIONES DE ROSARIO, PROV. DE SANTA FE, SALA A, AL DR. FLORENTINO MALAPONTE.</t>
  </si>
  <si>
    <t>MENSAJE N° 172/26 QUE SOLICITA ACUERDO PARA DESIGNAR JUEZA DE CAMARA DEL TRIBUNAL ORAL EN LO CRIMINAL FEDERAL DE CATAMARCA, PROV. DE CATAMARCA, A LA DRA. ANA MARIA BUSLEIMAN.</t>
  </si>
  <si>
    <t xml:space="preserve"> 17 14/05/2026 -</t>
  </si>
  <si>
    <t xml:space="preserve"> 14/05/2026 -</t>
  </si>
  <si>
    <t>14/05/2026</t>
  </si>
  <si>
    <t xml:space="preserve">MENSAJE N° 171/26 QUE SOLICITA ACUERDO PARA DESIGNAR JUEZ DEL TRIBUNAL FEDERAL DE JUICIO DE COMODORO RIVADAVIA, PROV. DEL CHUBUT, AL DR. SEBASTIAN PEDRO RUIZ.
</t>
  </si>
  <si>
    <t>MENSAJE N° 170/26 QUE SOLICITA ACUERDO PARA DESIGNAR FISCAL FEDERAL DE LA UNIDAD FISCAL MENDOZA, PROVINCIA DE MENDOZA, AL DR. FERNANDO GABRIEL ALCARAZ.</t>
  </si>
  <si>
    <t xml:space="preserve"> 16 14/05/2026 -</t>
  </si>
  <si>
    <t xml:space="preserve"> 13/05/2026 -</t>
  </si>
  <si>
    <t>13/05/2026</t>
  </si>
  <si>
    <t>MENSAJE N° 169/26 QUE SOLICITA ACUERDO PARA DESIGNAR JUEZ DEL JUZGADO NACIONAL EN LO CRIMINAL Y CORRECCIONAL N° 58 DE LA CAPITAL FEDERAL, AL DR. MAXIMILIANO ALBERTO LEANDRO CALLIZO.</t>
  </si>
  <si>
    <t xml:space="preserve">MENSAJE N° 168/26 QUE SOLICITA ACUERDO PARA DESIGNAR JUEZ DEL JUZGADO NACIONAL EN LO CRIMINAL Y CORRECCIONAL N° 44 DE LA CAPITAL FEDERAL, AL DR. SERGIO ALEJANDRO ECHEGARAY.
</t>
  </si>
  <si>
    <t>MENSAJE N° 167/26 QUE SOLICITA ACUERDO PARA DESIGNAR VOCAL DE LA CAMARA NACIONAL DE APELACIONES EN LO CIVIL DE LA CAPITAL FEDERAL, SALA K, AL DR. JUAN MANUEL CABRAL</t>
  </si>
  <si>
    <t>MENSAJE N° 166/26 QUE SOLICITA ACUERDO PARA DESIGNAR JUEZA DE CAMARA DEL TRIBUNAL ORAL EN LO CRIMINAL Y CORRECCIONAL N° 19 DE LA CAPITAL FEDERAL, A LA DRA. ALBERTINA ANATONIA CARON.</t>
  </si>
  <si>
    <t xml:space="preserve"> 06/08/2026 -</t>
  </si>
  <si>
    <t>06/08/2026</t>
  </si>
  <si>
    <t>MENSAJE N° 165/26 QUE SOLICITA ACUERDO PARA DESIGNAR JUEZ DEL JUZGADO NACIONAL DE PRIMERA INSTANCIA EN LO COMERCIAL N° 28 DE LA CAPITAL FEDERAL, AL DR. PEDRO MANUEL CRESPO.</t>
  </si>
  <si>
    <t xml:space="preserve">MENSAJE N° 164/26 QUE SOLICITA ACUERDO PARA DESIGNAR JUEZ DEL JUZGADO NACIONAL EN LO CRIMINAL Y CORRECCIONAL N° 45 DE LA CAPITAL FEDERAL, AL DR. SEBASTIAN RODRIGO GHERSI.
</t>
  </si>
  <si>
    <t>MENSAJE N° 163/26 QUE SOLICITA ACUERDO PARA DESIGNAR FISCAL FEDERAL DE LA UNIDAD FISCAL DE RESISTENCIA, PROVINCIA DEL CHACO, AL DR. PATRICIO NICOLAS SABADINI.</t>
  </si>
  <si>
    <t xml:space="preserve">MENSAJE N° 162/26 QUE SOLICITA ACUERDO PARA DESIGNAR VOCAL DE LA CAMARA FEDERAL DE APELACIONES DE MAR DEL PLATA, PROV. DE BUENOS AIRES, AL DR. SANTIAGO JOSE MARTIN.
</t>
  </si>
  <si>
    <t>MENSAJE N° 161/26 QUE SOLICITA ACUERDO PARA DESIGNAR VOCAL DE LA CAMARA FEDERAL DE APELACIONES DE SALTA, PROV. DE SALTA, SALA I, AL DR. SANTIAGO FRENCH.</t>
  </si>
  <si>
    <t>MENSAJE N° 160/26 QUE SOLICITA ACUERDO PARA DESIGNAR DEFENSORA PUBLICA OFICIAL ANTE LOS TRIBUNALES ORALES EN LO CRIMINAL Y CORRECCIONAL DE LA CAPITAL FEDERAL, DEFENSORIA N° 7, A LA DRA. AMANDA ESPINO.</t>
  </si>
  <si>
    <t>MENSAJE N° 159/26 QUE SOLICITA ACUERDO PARA DESIGNAR JUEZA DE CAMARA DEL TRIBUNAL ORAL EN LO CRIMINAL Y CORRECCIONAL N° 18 DE LA CAPITAL FEDERAL, A LA DRA. EVANGELINA MARIA LASALA.</t>
  </si>
  <si>
    <t>MENSAJE N° 158/26 QUE SOLICITA ACUERDO PARA DESIGNAR JUEZ DEL JUZGADO NACIONAL DE PRIMERA INSTANCIA EN LO CIVIL N° 110 DE LA CAPITAL FEDERAL, AL DR. JOSE MARIA ABRAM LUJAN.</t>
  </si>
  <si>
    <t xml:space="preserve"> 15 14/05/2026 -</t>
  </si>
  <si>
    <t xml:space="preserve"> 12/05/2026 -</t>
  </si>
  <si>
    <t>12/05/2026</t>
  </si>
  <si>
    <t>MENSAJE N° 157/26 QUE SOLICITA ACUERDO PARA DESIGNAR JUEZA DEL JUZGADO NACIONAL DE PRIMERA INSTANCIA EN LO CIVIL N° 109 DE LA CAPITAL FEDERAL, A LA DRA. PILAR FERNANDEZ ESCARGUEL.</t>
  </si>
  <si>
    <t>MENSAJE N° 156/26 QUE SOLICITA ACUERDO PARA DESIGNAR FISCAL FEDERAL DE LA SEDE FISCAL DESCENTRALIZADA DE PASO DE LOS LIBRES, PROVINCIA DE CORRIENTES, AL DR. HUGO DANIEL FROY.</t>
  </si>
  <si>
    <t>MENSAJE N° 155/26 QUE SOLICITA ACUERDO PARA DESIGNAR JUEZ DEL JUZGADO FEDERAL DE PRIMERA INSTANCIA EN LO CRIMINAL Y CORRECCIONAL N° 2 DE LOMAS DE ZAMORA, PROVINCIA DE BUENOS AIRES, AL DR. JUAN TOMAS RODRIGUEZ PONTE.</t>
  </si>
  <si>
    <t>MENSAJE N° 154/26 QUE SOLICITA ACUERDO PARA DESIGNAR JUEZ DEL JUZGADO NACIONAL DE PRIMERA INSTANCIA EN LO CIVIL N°19 DE LA CAPITAL FEDERAL, AL DR. SANTIAGO VILLAGRAN.</t>
  </si>
  <si>
    <t xml:space="preserve">MENSAJE N° 153/26 QUE SOLICITA ACUERDO PARA DESIGNAR JUEZA DE CAMARA DEL TRIBUNAL ORAL EN LO CRIMINAL Y CORRECCIONAL N° 18 DE LA CAPITAL FEDERAL, A LA DRA. PAULA VANESA ROMEO.
</t>
  </si>
  <si>
    <t>MENSAJE N° 152/26 QUE SOLICITA ACUERDO PARA DESIGNAR JUEZ DE CAMARA DEL TRIBUNAL ORAL EN LO CRIMINAL Y CORRECCIONAL N° 10 DE LA CAPITAL FEDERAL, AL DR. JULIO CESAR DI GIORGIO.</t>
  </si>
  <si>
    <t>MENSAJE N° 151/26 QUE SOLICITA ACUERDO PARA DESIGNAR JUEZ DE CAMARA DEL TRIBUNAL ORAL EN LO CRIMINAL Y CORRECCIONAL N° 9 DE LA CAPITAL FEDERAL, AL DR. JUAN CARLOS RICCARDINI.</t>
  </si>
  <si>
    <t>MENSAJE N° 150/26 QUE SOLICITA ACUERDO PARA DESIGNAR JUEZ DE CAMARA DEL TRIBUNAL ORAL EN LO CRIMINAL FEDERAL DE TUCUMAN, PROV. DE TUCUMAN, AL DR. ANGEL ROGER LUNA ROLDAN.</t>
  </si>
  <si>
    <t xml:space="preserve"> 14 14/05/2026 -</t>
  </si>
  <si>
    <t xml:space="preserve"> 11/05/2026 -</t>
  </si>
  <si>
    <t>11/05/2026</t>
  </si>
  <si>
    <t>MENSAJE N° 149/26 QUE SOLICITA ACUERDO PARA DESIGNAR VOCAL DE LA CAMARA FEDERAL DE APELACIONES DE RESISTENCIA, PROV. DEL CHACO, A LA DRA. MARIA VIRGINIA ISE.</t>
  </si>
  <si>
    <t>MENSAJE N° 148/26 QUE SOLICITA ACUERDO PARA DESIGNAR FISCAL FEDERAL DE LA UNIDAD FISCAL DE CORRIENTES, PROV. DE CORRIENTES, AL DR. JUAN MARCELO BURELLA ACEVEDO.</t>
  </si>
  <si>
    <t xml:space="preserve">MENSAJE N° 147/26 QUE SOLICITA ACUERDO PARA DESIGNAR JUEZA DE CAMARA DEL TRIBUNAL ORAL EN LO CRIMINAL FEDERAL DE POSADAS, PROV. DE MISIONES, A LA DRA. RUTH MARIA PONCE DE LEON.
</t>
  </si>
  <si>
    <t>MENSAJE N° 146/26 QUE SOLICITA ACUERDO PARA DESIGNAR JUEZ DE CAMARA DEL TRIBUNAL ORAL EN LO CRIMINAL FEDERAL DE TUCUMAN, PROV. DE TUCUMAN, AL DR. PABLO ROBERTO TOLEDO.</t>
  </si>
  <si>
    <t>MENSAJE N° 145/26 QUE SOLICITA ACUERDO PARA DESIGNAR VOCAL DE LA CAMARA NACIONAL DE APELACIONES DEL TRABAJO DE LA CAPITAL FEDERAL, SALA III, AL DR. CLAUDIO FABIAN LOGUARRO.</t>
  </si>
  <si>
    <t xml:space="preserve"> 09/06/2026 -</t>
  </si>
  <si>
    <t>09/06/2026</t>
  </si>
  <si>
    <t xml:space="preserve">MENSAJE N° 144/26 QUE SOLICITA ACUERDO PARA DESIGNAR VOCAL DE LA CAMARA NACIONAL DE APELACIONES DEL TRABAJO DE LA CAPITAL FEDERAL, SALA V, AL DR. DIEGO FERNANDO MANAUTA.
</t>
  </si>
  <si>
    <t>MENSAJE N° 143/26 QUE SOLICITA ACUERDO PARA DESIGNAR VOCAL DE LA CAMARA NACIONAL DE APELACIONES DEL TRABAJO DE LA CAPITAL FEDERAL, SALA II, AL DR. DIEGO JAVIER TULA.</t>
  </si>
  <si>
    <t>MENSAJE N° 142/26 QUE SOLICITA ACUERDO PARA DESIGNAR VOCAL DE LA CAMARA NACIONAL DE APELACIONES DEL TRABAJO DE LA CAPITAL FEDERAL, SALA VI, A LA DRA. MARINA EDITH PISACCO.</t>
  </si>
  <si>
    <t>MENSAJE N° 141/26 QUE SOLICITA ACUERDO PARA DESIGNAR VOCAL DE LA CAMARA NACIONAL DE APELACIONES DEL TRABAJO DE LA CAPITAL FEDERAL, SALA X, A LA DRA. MARIA CLAUDIA JUEGUEN.</t>
  </si>
  <si>
    <t>MENSAJE N° 140/26 QUE SOLICITA ACUERDO PARA POSIBILITAR UN NUEVO NOMBRAMIENTO DEL VOCAL DE LA CAMARA NACIONAL DE APELACIONES DEL TRABAJO DE LA CAPITAL FEDERAL, SALA VIII, AL DR. VICTOR ARTURO PESINO</t>
  </si>
  <si>
    <t>MENSAJE N° 139/26 QUE SOLICITA ACUERDO A FIN DE POSIBILITAR UN NUEVO NOMBRAMIENTO PARA DESIGNAR JUEZ DEL JUZGADO FEDERAL DE PRIMERA INSTANCIA N°2 DE SAN JUAN, PROVINCIA DE SAN JUAN, AL DR. LEOPOLDO JORGE RAGO GALLO.</t>
  </si>
  <si>
    <t xml:space="preserve"> 13 14/05/2026 -</t>
  </si>
  <si>
    <t>MENSAJE N° 136/26 QUE SOLICITA ACUERDO PARA DESIGNAR CONJUECES DE LOS JUZGADOS FEDERALES DE PRIMERA INSTANCIA DE LA JURISDICCIÓN DE LA CÁMARA FEDERAL DE APELACIONES DE CÓRDOBA.</t>
  </si>
  <si>
    <t xml:space="preserve"> 11 14/05/2026 -</t>
  </si>
  <si>
    <t xml:space="preserve"> 24/04/2026 -</t>
  </si>
  <si>
    <t>24/04/2026</t>
  </si>
  <si>
    <t>MENSAJE N° 135/26 QUE SOLICITA ACUERDO A FIN DE POSIBILITAR UN NUEVO NOMBRAMIENTO DE LA VOCAL DE LA CAMARA NACIONAL DE APELACIONES EN LO COMERCIAL DE LA CAPITAL FEDERAL, SALA B, A LA DRA. MATILDE EVANGELINA BALLERINI.</t>
  </si>
  <si>
    <t>MENSAJE N° 134/26 QUE SOLICITA ACUERDO PARA DESIGNAR FISCAL ANTE EL JUZGADO FEDERAL DE PRIMERA INSTANCIA DE GUALEGUAYCHÚ, PROV. DE ENTRE RÍOS, AL DR. PEDRO MARIANO REBOLLO.</t>
  </si>
  <si>
    <t>MENSAJE N° 133/26 QUE SOLICITA ACUERDO PARA DESIGNAR FISCAL GENERAL ANTE LOS TRIBUNALES ORALES EN LO PENAL ECONÓMICO DE LA CAPITAL FEDERAL FISCALÍA N° 3, A LA DRA. NATALIA CECILIA CREDE.</t>
  </si>
  <si>
    <t>MENSAJE N° 132/26 QUE SOLICITA ACUERDO PARA DESIGNAR FISCAL GENERAL ANTE LOS TRIBUNALES ORALES EN LO PENAL ECONÓMICO DE LA CAPITAL FEDERAL, FISCALÍA N° 4, A LA DRA. MARÍA ÁNGELES RAMOS.</t>
  </si>
  <si>
    <t xml:space="preserve">MENSAJE N° 131/26 QUE SOLICITA ACUERDO PARA DESIGNAR FISCAL GENERAL ANTE LOS TRIBUNALES ORALES EN LO PENAL ECONÓMICO DE LA CAPITAL FEDERAL, FISCALÍA N° 2, AL DR. SANTIAGO ROLDAN.
</t>
  </si>
  <si>
    <t>MENSAJE N° 130/26 QUE SOLICITA ACUERDO PARA DESIGNAR JUEZ DEL JUZGADO NACIONAL DE PRIMERA INSTANCIA EN LO COMERCIAL N° 10 DE LA CAPITAL FEDERAL, AL DR. GUSTAVO ALEJANDRO ROQUE CULTRARO.</t>
  </si>
  <si>
    <t>MENSAJE N° 129/26 QUE SOLICITA ACUERDO PARA DESIGNAR JUEZ DE CAMARA DEL TRIBUNAL ORAL EN LO CRIMINAL FEDERAL N° 2 DE SAN MARTIN, PROV. DE BUENOS AIRES, AL DR. BERNARDO MARIA RODRIGUEZ PALMA.</t>
  </si>
  <si>
    <t>MENSAJE N° 128/26 QUE SOLICITA ACUERDO PARA DESIGNAR JUEZ DEL JUZGADO NACIONAL EN LO CRIMINAL Y CORRECCIONAL N° 41 DE LA CAPITAL FEDERAL, AL DR. FERNANDO CARLOS DAMIAN PASCUAL.</t>
  </si>
  <si>
    <t>MENSAJE N° 127/26 QUE SOLICITA ACUERDO PARA DESIGNAR JUEZA DE CAMARA DEL TRIBUNAL ORAL EN LO CRIMINAL Y CORRECCIONAL N° 25 DE LA CAPITAL FEDERAL, A LA DRA. MARIANA SALDUNA.</t>
  </si>
  <si>
    <t>MENSAJE N° 126/26 QUE SOLICITA ACUERDO PARA DESIGNAR JUEZA DE CAMARA DEL TRIBUNAL ORAL EN LO CRIMINAL Y CORRECCIONAL N° 16 DE LA CAPITAL FEDERAL, A LA DRA. VANESA SILVANA ALFARO.</t>
  </si>
  <si>
    <t>MENSAJE N° 125/26 QUE SOLICITA ACUERDO PARA DESIGNAR JUEZA DEL JUZGADO NACIONAL DE PRIMERA INSTANCIA EN LO CIVIL N° 27 DE LA CAPITAL FEDERAL, A LA DRA. BARBARA RASTELLINO.</t>
  </si>
  <si>
    <t>MENSAJE N° 124/26 QUE SOLICITA ACUERDO PARA DESIGNAR JUEZ DEL JUZGADO NACIONAL EN LO CRIMINAL Y CORRECCIONAL N° 3 DE LA CAPITAL FEDERAL, AL DR. JAVIER RODRIGO PEREYRA.</t>
  </si>
  <si>
    <t>MENSAJE N° 123/26 QUE SOLICITA ACUERDO PARA DESIGNAR VOCAL DE LA CAMARA NACIONAL DE APELACIONES EN LO CIVIL DE LA CAPITAL FEDERAL, SALA D, AL DR. AGUSTIN RAUL RUBIERO.</t>
  </si>
  <si>
    <t>MENSAJE N° 122/26 QUE SOLICITA ACUERDO PARA DESIGNAR VOCAL DE LA CAMARA FEDERAL DE LA SEGURIDAD SOCIAL, SALA III, A LA DRA. ALICIA ISABEL BRAGHINI.</t>
  </si>
  <si>
    <t>MENSAJE N° 121/26 QUE SOLICITA ACUERDO PARA DESIGNAR JUEZA DEL JUZGADO NACIONAL DE PRIMERA INSTANCIA EN LO CIVIL N° 66 DE LA CAPITAL FEDERAL, A LA DRA. FLORENCIA INÉS CORDOBA.</t>
  </si>
  <si>
    <t>MENSAJE N° 120/26 QUE SOLICITA ACUERDO PARA DESIGNAR JUEZA DEL JUZGADO NACIONAL DE PRIMERA INSTANCIA EN LO CIVIL N° 9 DE LA CAPITAL FEDERAL, A LA DRA. LUCILA CALIFANO.</t>
  </si>
  <si>
    <t>MENSAJE N° 119/26 QUE SOLICITA ACUERDO PARA DESIGNAR DEFENSOR PUBLICO OFICIAL ANTE LOS TRIBUNALES ORALES EN LO PENAL ECONOMICO DE LA CAPITAL FEDERAL, DEFENSORIA N° 2, AL DR. HERNAN ENRIQUE FIGUEROA.</t>
  </si>
  <si>
    <t>MENSAJE N° 118/26 QUE SOLICITA ACUERDO PARA DESIGNAR DEFENSOR PUBLICO OFICIAL ADJUNTO ANTE LOS TRIBUNALES ORALES EN LO CRIMINAL Y CORRECCIONAL DE LA CAPITAL FEDERAL, DEFENSORIA N° 11, AL DR. GERMAN LUIS ARTOLA.</t>
  </si>
  <si>
    <t>MENSAJE N° 117/26 QUE SOLICITA ACUERDO PARA DESIGNAR DEFENSORA PUBLICA OFICIAL ADJUNTA ANTE LOS TRIBUNALES ORALES EN LO CRIMINAL Y CORRECCIONAL DE LA CAPITAL FEDERAL, DEFENSORIA N° 15, A LA DRA. NURIA SABA SARDAÑONS.</t>
  </si>
  <si>
    <t>MENSAJE N° 116/26 QUE SOLICITA ACUERDO PARA DESIGNAR DEFENSOR PUBLICO OFICIAL ANTE EL TRIBUNAL ORAL EN LO CRIMINAL FEDERAL DE LA RIOJA, PROV. DE LA RIOJA, AL DR. JOSE NICOLAS CELESTINO CHUMBITA.</t>
  </si>
  <si>
    <t>MENSAJE N° 115/26 QUE SOLICITA ACUERDO PARA DESIGNAR DEFENSORA PUBLICA DE VICTIMA CON ASIENTO EN LA PROV. DE SANTIAGO DEL ESTERO, A LA DRA. SOFIA BEATRIZ DEL MILAGRO MARTIN.</t>
  </si>
  <si>
    <t>MENSAJE N° 114/26 QUE SOLICITA ACUERDO PARA DESIGNAR DEFENSOR PUBLICO DE MENORES E INCAPACES ANTE LOS TRIBUNALES ORALES EN LO CRIMINAL Y CORRECCIONAL DE LA CAPITAL FEDERAL, DEFENSORIA N° 4, AL DR. MAXIMILIANO EDUARDO NICOLAS.</t>
  </si>
  <si>
    <t>MENSAJE N° 113/26 QUE SOLICITA ACUERDO PARA DESIGNAR DEFENSORA PUBLICA DE VICTIMA CON ASIENTO EN LA PROV. DE RIO NEGRO, A LA DRA. MARIA LAURA IRASTORZA.</t>
  </si>
  <si>
    <t xml:space="preserve">MENSAJE N° 112/26 QUE SOLICITA ACUERDO PARA DESIGNAR DEFENSORA PUBLICA OFICIAL FEDERAL DEL INTERIOR DEL PAIS CON ASIENTO EN LA CIUDAD DE FORMOSA, PROV. DE FORMOSA, A LA DRA. MARIA ESTHER PINOS.
</t>
  </si>
  <si>
    <t>MENSAJE N° 111/26 QUE SOLICITA ACUERDO PARA DESIGNAR DEFENSORA PUBLICA OFICIAL ANTE LA CAMARA FEDERAL DE CASACION PENAL, DEFENSORIA N° 3, A LA DRA. ANA CLARISA GALAN MUÑOZ.</t>
  </si>
  <si>
    <t xml:space="preserve">MENSAJE N° 103/26 QUE SOLICITA ACUERDO PARA DESIGNAR DEFENSOR PUBLICO DE VICTIMA CON ASIENTO EN LA PROVINCIA DE ENTRE RIOS, AL DR. JUAN IGNACIO LAZZANEO.
</t>
  </si>
  <si>
    <t xml:space="preserve"> 10 09/04/2026 -</t>
  </si>
  <si>
    <t>16/06/2026</t>
  </si>
  <si>
    <t xml:space="preserve"> 09/04/2026 -</t>
  </si>
  <si>
    <t>09/04/2026</t>
  </si>
  <si>
    <t xml:space="preserve">AP  04/06/2026            </t>
  </si>
  <si>
    <t xml:space="preserve">MENSAJE N° 102/26 QUE SOLICITA ACUERDO PARA DESIGNAR VOCAL DE LA CAMARA FEDERAL DE APELACIONES DE MENDOZA, PROVINCIA DE MENDOZA, SALA A, AL DR. SEBASTIAN GUILLERMO SONEIRA.
</t>
  </si>
  <si>
    <t xml:space="preserve">MENSAJE N° 101/26 QUE SOLICITA ACUERDO PARA DESIGNAR JUEZ DE CAMARA DEL TRIBUNAL ORAL EN LO CRIMINAL Y CORRECCIONAL N°8 DE LA CAPITAL FEDERAL, AL DR. JUAN MANUEL MEJUTO.
</t>
  </si>
  <si>
    <t xml:space="preserve">MENSAJE N° 100/26 QUE SOLICITA ACUERDO PARA DESIGNAR JUEZ DE CAMARA DEL TRIBUNAL ORAL EN LO CRIMINAL Y CORRECCIONAL N°2 DE LA CAPITAL FEDERAL, AL DR. MARCELO ALEJANDRO PELUZZI.
</t>
  </si>
  <si>
    <t xml:space="preserve">MENSAJE N° 99/26 QUE ASIGNA SALAS Y VOCALIAS A MENSAJES REMITIDOS SOLICITANDO ACUERDO PARA DESIGNAR A MAGISTRADOS JUDICIALES.
</t>
  </si>
  <si>
    <t xml:space="preserve">MENSAJE N° 98/26 QUE SOLICITA ACUERDO PARA DESIGNAR JUEZA DEL JUZGADO NACIONAL DE PRIMERA INSTANCIA EN LO CIVIL N° 77 DE LA CAPITAL FEDERAL, A LA DRA. PAULA DIANA MARINKOVIC.
</t>
  </si>
  <si>
    <t xml:space="preserve"> 9 09/04/2026 -</t>
  </si>
  <si>
    <t xml:space="preserve"> 08/04/2026 -</t>
  </si>
  <si>
    <t>08/04/2026</t>
  </si>
  <si>
    <t>MENSAJE N° 97/26 QUE SOLICITA ACUERDO PARA DESIGNAR JUEZ DEL JUZGADO NACIONAL EN LO CRIMINAL Y CORRECCIONAL N° 31 DE LA CAPITAL FEDERAL, AL DR. DIEGO JAVIER SOUTO.</t>
  </si>
  <si>
    <t>MENSAJE N° 96/26 QUE SOLICITA ACUERDO PARA DESIGNAR JUEZ DEL JUZGADO FEDERAL DE PRIMERA INSTANCIA DE SAN CARLOS DE BARILOCHE, PROV. DE RIO NEGRO, AL DR. LEANDRO AGUSTIN GOMEZ CONSTENLA.</t>
  </si>
  <si>
    <t>MENSAJE N° 95/26 QUE SOLICITA ACUERDO PARA DESIGNAR JUEZ DEL JUZGADO FEDERAL DE PRIMERA INSTANCIA N° 2 DE SALTA, PROV. DE SALTA, AL DR. DIEGO ANZORREGUY.</t>
  </si>
  <si>
    <t xml:space="preserve"> 8 09/04/2026 -</t>
  </si>
  <si>
    <t xml:space="preserve"> 07/04/2026 -</t>
  </si>
  <si>
    <t>07/04/2026</t>
  </si>
  <si>
    <t>MENSAJE N° 94/26 QUE SOLICITA ACUERDO PARA DESIGNAR JUEZ DEL JUZGADO NACIONAL DE PRIMERA INSTANCIA EN LO COMERCIAL N° 4 DE LA CAPITAL FEDERAL, AL DR. JUAN PEDRO GIUDICI.</t>
  </si>
  <si>
    <t>MENSAJE N° 93/26 QUE SOLICITA ACUERDO PARA DESIGNAR JUEZA DEL JUZGADO FEDERAL DE PRIMERA INSTANCIA DE EJECUCIONES FISCALES TRIBUTARIAS N° 4 DE LA CAPITAL FEDERAL, A LA DRA. MARIA FLORENCIA MASSA.</t>
  </si>
  <si>
    <t>MENSAJE N° 92/26 QUE SOLICITA ACUERDO PARA DESIGNAR JUEZA DEL JUZGADO NACIONAL DE PRIMERA INSTANCIA EN LO CIVIL N° 94 DE LA CAPITAL FEDERAL, A LA DRA. GABRIELA MARIEL PALOPOLI.</t>
  </si>
  <si>
    <t xml:space="preserve">MENSAJE N° 91/26 QUE SOLICITA ACUERDO PARA DESIGNAR JUEZ DE CAMARA DEL TRIBUNAL ORAL EN LO CRIMINAL FEDERAL N° 2 DE SAN MARTIN, PROV. DE BUENOS AIRES, AL DR. MARIO ALBERTO FERRARIO.
</t>
  </si>
  <si>
    <t>MENSAJE N° 90/26 QUE SOLICITA ACUERDO PARA DESIGNAR JUEZ DEL TRIBUNAL FEDERAL DE JUICIO DE NEUQUEN, PROV. DEL NEUQUEN, AL DR. PABLO ANTONIO MATKOVIC.</t>
  </si>
  <si>
    <t>MENSAJE N° 89/26 QUE SOLICITA ACUERDO PARA DESIGNAR JUEZ DEL JUZGADO FEDERAL DE PRIMERA INSTANCIA DE RAFAELA, PROV. DE SANTA FE, AL DR. SANTIAGO JOAQUIN SAUX.</t>
  </si>
  <si>
    <t>MENSAJE N° 88/26 QUE SOLICITA ACUERDO PARA DESIGNAR JUEZ DEL JUZGADO NACIONAL EN LO CRIMINAL Y CORRECCIONAL N° 7 DE LA CAPITAL FEDERAL, AL DR. MARIANO FRANCISCO AMADURI.</t>
  </si>
  <si>
    <t>MENSAJE N° 87/26 QUE SOLICITA ACUERDO PARA DESIGNAR JUEZ DE CAMARA DEL TRIBUNAL ORAL EN LO CRIMINAL FEDERAL N° 5 DE SAN MARTIN, PROV. DE BUENOS AIRES, AL DR. JUAN MANUEL GASET MAISONAVE.</t>
  </si>
  <si>
    <t xml:space="preserve">MENSAJE N° 86/26 QUE SOLICITA ACUERDO PARA DESIGNAR JUEZ DEL JUZGADO NACIONAL EN LO CRIMINAL Y CORRECCIONAL N° 1 DE LA CAPITAL FEDERAL, AL DR. JOSE MIGUEL GUERRERO.
</t>
  </si>
  <si>
    <t xml:space="preserve">MENSAJE N° 85/26 QUE SOLICITA ACUERDO PARA DESIGNAR JUEZA DE CAMARA DEL TRIBUNAL ORAL EN LO CRIMINAL FEDERAL N° 1 DE LA PLATA, PROV. DE BUENOS AIRES, A LA DRA. JESICA YAEL SIRCOVICH.
</t>
  </si>
  <si>
    <t xml:space="preserve"> 7 09/04/2026 -</t>
  </si>
  <si>
    <t xml:space="preserve"> 06/04/2026 -</t>
  </si>
  <si>
    <t>06/04/2026</t>
  </si>
  <si>
    <t xml:space="preserve">MENSAJE N° 84/26 QUE SOLICITA ACUERDO PARA DESIGNAR FISCAL GENERAL ANTE LOS TRIBUNALES ORALES EN LO CRIMINAL Y CORRECCIONAL DE LA CAPITAL FEDERAL, FISCALIA N°9, AL DR.  SANTIAGO VISMARA.
</t>
  </si>
  <si>
    <t xml:space="preserve"> 6 09/04/2026 -</t>
  </si>
  <si>
    <t xml:space="preserve"> 01/04/2026 -</t>
  </si>
  <si>
    <t>01/04/2026</t>
  </si>
  <si>
    <t xml:space="preserve">MENSAJE N° 83/26 QUE SOLICITA ACUERDO PARA DESIGNAR DEFENSOR PUBLICO OFICIAL FEDERAL DEL INTERIOR DEL PAIS CON ASIENTO EN LA CDAD. DE MENDOZA, PROV. DE MENDOZA, AL DR. CARLOS AGUSTIN PARMA.
</t>
  </si>
  <si>
    <t>MENSAJE N° 81/26 QUE SOLICITA ACUERDO PARA DESIGNAR VOCAL DE LA CAMARA NACIONAL DE APELACIONES EN LO CRIMINAL Y CORRECCIONAL DE LA CAPITAL FEDERAL, VOCALIA N° 14, A LA DRA. YAMILE SUSANA BERNAN.</t>
  </si>
  <si>
    <t xml:space="preserve"> 5 09/04/2026 -</t>
  </si>
  <si>
    <t xml:space="preserve"> 31/03/2026 -</t>
  </si>
  <si>
    <t>31/03/2026</t>
  </si>
  <si>
    <t>MENSAJE N° 80/26 QUE SOLICITA ACUERDO PARA DESIGNAR JUEZA DEL JUZGADO NACIONAL DE PRIMERA INSTANCIA EN LO COMERCIAL N° 22 DE LA CAPITAL FEDERAL, A LA DRA. MARIA AGUSTINA BOYAJIAN RIVAS.</t>
  </si>
  <si>
    <t>MENSAJE N° 79/26 QUE SOLICITA ACUERDO PARA DESIGNAR JUEZA DEL JUZGADO FEDERAL DE PRIMERA INSTANCIA DE EJECUCIONES FISCALES TRIBUTARIAS N° 3 DE LA CAPITAL FEDERAL, A LA DRA. MARIA LAURA AMERI.</t>
  </si>
  <si>
    <t>MENSAJE N° 78/26 QUE SOLICITA ACUERDO PARA DESIGNAR JUEZ DEL JUZGADO FEDERAL DE PRIMERA INSTANCIA DE LA SEGURIDAD SOCIAL N° 10 DE LA CAPITAL FEDERAL, AL DR. DIEGO ALLIEVI.</t>
  </si>
  <si>
    <t xml:space="preserve">MENSAJE N° 77/26 QUE SOLICITA ACUERDO PARA DESIGNAR JUEZ DEL JUZGADO NACIONAL DE PRIMERA INSTANCIA EN LO CIVIL N° 25 DE LA CAPITAL FEDERAL, AL DR. SANTOS ENRIQUE CIFUENTES.
</t>
  </si>
  <si>
    <t xml:space="preserve">MENSAJE N° 76/26 QUE SOLICITA ACUERDO PARA DESIGNAR JUEZ DEL JUZGADO FEDERAL DE GARANTIAS N° 2 DE SANTA FE, PROVINCIA DE SANTA FE, AL DR. WALTER ALBERTO RODRIGUEZ.
</t>
  </si>
  <si>
    <t>MENSAJE N° 75/26 QUE SOLICITA ACUERDO PARA DESIGNAR JUEZ DEL JUZGADO NACIONAL EN LO CRIMINAL Y CORRECCIONAL Nª 47 DE LA CAPITAL FEDERAL AL DR. PABLO FEDERICO MOYA.</t>
  </si>
  <si>
    <t xml:space="preserve">MENSAJE N° 74/26 QUE SOLICITA ACUERDO PARA DESIGNAR JUEZA DEL JUZGADO FEDERAL DE PRIMERA INSTANCIA DE HURLINGHAM, PROV. DE BUENOS AIRES A LA DRA. MARIA CRISTINA JUAN.
</t>
  </si>
  <si>
    <t>MENSAJE N° 73/26 QUE SOLICITA ACUERDO PARA DESIGNAR VOCAL DE LA CAMARA NACIONAL DE APELACIONES EN LO COMERCIAL DE LA CAPITAL FEDERAL, SALA B, AL DR. JORGE DJIVARIS.</t>
  </si>
  <si>
    <t>MENSAJE N° 72/26 QUE SOLICITA ACUERDO PARA DESIGNAR VOCAL DE LA CAMARA FEDERAL DE APELACIONES DE LA PLATA, PROV. DE BUENOS AIRES, SALA I, AL DR. LAUREANO ALBERTO DURAN.</t>
  </si>
  <si>
    <t>MENSAJE N° 71/26 QUE SOLICITA ACUERDO PARA DESIGNAR JUEZ DE CAMARA DEL TRIBUNAL ORAL EN LO PENAL ECONOMICO N° 2 DE LA CAPITAL FEDERAL, AL DR. FEDERICO NOVELLO.</t>
  </si>
  <si>
    <t xml:space="preserve">MENSAJE N° 70/26 QUE SOLICITA ACUERDO PARA DESIGNAR JUEZ DE CAMARA DEL TRIBUNAL ORAL EN LO CRIMINAL FEDERAL N° 5 DE SAN MARTIN, PROVINCIA DE BUENOS AIRES, AL DR. JAVIER MATIAS ARZUBI CALVO.
</t>
  </si>
  <si>
    <t xml:space="preserve">MENSAJE N° 69/26 QUE SOLICITA ACUERDO PARA DESIGNAR FISCAL ANTE LOS JUZGADOS NACIONALES EN LO PENAL ECONOMICO, FISCALIA N° 1, AL DR. JUAN ANDRES MOLDES.
</t>
  </si>
  <si>
    <t xml:space="preserve"> 4 09/04/2026 -</t>
  </si>
  <si>
    <t xml:space="preserve"> 30/03/2026 -</t>
  </si>
  <si>
    <t>30/03/2026</t>
  </si>
  <si>
    <t>MENSAJE N° 68/26 QUE SOLICITA ACUERDO PARA DESIGNAR JUEZ DEL TRIBUNAL FEDERAL DE JUICIO DE SANTA FE, PROVINCIA DE SANTA FE, AL DR. EMILIO ROSATTI.</t>
  </si>
  <si>
    <t xml:space="preserve">MENSAJE N° 67/26 QUE SOLICITA ACUERDO PARA DESIGNAR JUEZA DEL JUZGADO NACIONAL DE PRIMERA INSTANCIA EN LO CIVIL Nº 62 DE LA CAPITAL FEDERAL, A LA DRA. LAURA WISZNIACKI.
</t>
  </si>
  <si>
    <t>MENSAJE N° 66/26 QUE SOLICITA ACUERDO PARA DESIGNAR JUEZ DE CAMARA DEL TRIBUNAL ORAL EN LO CRIMINAL Y CORRECCIONAL Nº 7 DE LA CAPITAL FEDERAL AL DR. NICOLAS RAMON CEBALLOS.</t>
  </si>
  <si>
    <t>MENSAJE Nº 65/26 QUE SOLICITA ACUERDO PARA DESIGNAR JUEZA DEL JUZGADO NACIONAL EN LO CRIMINAL Y CORRECCIONAL N° 23 DE LA CAPITAL FEDERAL, A LA DRA. LAURA FABIANA KVITKO.</t>
  </si>
  <si>
    <t xml:space="preserve">MENSAJE N° 31/26 QUE SOLICITA ACUERDO PARA DESIGNAR JUEZ DE CÁMARA DEL TRIBUNAL ORAL EN LO CRIMINAL FEDERAL N° 3 DE SAN MARTÍN, PROVINCIA DE BUENOS AIRES, AL DR. PABLO JAVIER FLORES.
</t>
  </si>
  <si>
    <t>MENSAJE N° 64/26 QUE SOLICITA ACUERDO PARA DESIGNAR VOCAL DE LA CAMARA FEDERAL DE LA SEGURIDAD SOCIAL, SALA III, AL DR. FERNANDO STRASSER.</t>
  </si>
  <si>
    <t>MENSAJE N° 63/26 QUE SOLICITA ACUERDO PARA DESIGNAR VOCAL DE LA CAMARA FEDERAL DE LA SEGURIDAD SOCIAL, SALA II, AL DR. WALTER FABIAN CARNOTA.</t>
  </si>
  <si>
    <t>MENSAJE N° 62/26 QUE SOLICITA ACUERDO PARA DESIGNAR VOCAL DE LA CAMARA NACIONAL DE APELACIONES EN LO CIVIL DE LA CAPITAL FEDERAL, SALA K, A LA DRA. LUCILA INES CORDOBA.</t>
  </si>
  <si>
    <t>MENSAJE N° 61/26 QUE SOLICITA ACUERDO PARA DESIGNAR VOCAL DE LA CAMARA NACIONAL DE APELACIONES EN LO CIVIL DE LA CAPITAL FEDERAL, SALA F, A LA DRA. PAULA ANDREA CASTRO.</t>
  </si>
  <si>
    <t>MENSAJE N° 60/26 QUE SOLICITA ACUERDO PARA DESIGNAR VOCAL DE LA CAMARA NACIONAL DE APELACIONES EN LO CIVIL DE LA CAPITAL FEDERAL, SALA E, A LA DRA. SAMANTA CLAUDIA BISCARDI.</t>
  </si>
  <si>
    <t>MENSAJE N° 59/26 QUE SOLICITA ACUERDO PARA DESIGNAR VOCAL DE LA CAMARA NACIONAL DE APELACIONES EN LO CIVIL DE LA CAPITAL FEDERAL, SALA E, A LA DRA. ANALIA VICTORIA ROMERO.</t>
  </si>
  <si>
    <t>MENSAJE N° 58/26 QUE SOLICITA ACUERDO PARA DESIGNAR VOCAL DE LA CAMARA NACIONAL DE APELACIONES EN LO CIVIL DE LA CAPITAL FEDERAL, SALA F,  AL DR. OSVALDO FELIPE PITRAU.</t>
  </si>
  <si>
    <t>MENSAJE N° 57/26 QUE SOLICITA ACUERDO PARA DESIGNAR VOCAL DE LA CAMARA NACIONAL DE APELACIONES EN LO CRIMINAL Y CORRECCIONAL DE LA CAPITAL FEDERAL, VOCALIA N° 20,  AL DR. SANTIAGO QUIAN ZAVALIA.</t>
  </si>
  <si>
    <t>MENSAJE N° 56/26 QUE SOLICITA ACUERDO PARA DESIGNAR JUEZ DEL TRIBUNAL FEDERAL DE JUICIO DE FORMOSA, PROVINCIA DE FORMOSA, AL DR. GERARDO DANIEL CACACE.</t>
  </si>
  <si>
    <t>MENSAJE N° 55/26 QUE SOLICITA ACUERDO PARA DESIGNAR JUEZ DEL JUZGADO NACIONAL DE PRIMERA INSTANCIA EN LO CIVIL N° 64 DE LA CAPITAL FEDERAL, AL DR. GERMAN AUGUSTO DEGANO.</t>
  </si>
  <si>
    <t>MENSAJE N° 54/26 QUE SOLICITA ACUERDO PARA DESIGNAR JUEZ DEL JUZGADO NACIONAL DE PRIMERA INSTANCIA EN LO CIVIL N° 80 DE LA CAPITAL FEDERAL, AL DR. EZEQUIEL JAVIER SOBRINO REIG.</t>
  </si>
  <si>
    <t>MENSAJE N° 53/26 QUE SOLICITA ACUERDO PARA DESIGNAR JUEZ DE CAMARA DEL TRIBUNAL ORAL EN LO CRIMINAL Y CORRECCIONAL N° 3 DE LA CAPITAL FEDERAL, AL DR. HUGO FABIAN DECARIA.</t>
  </si>
  <si>
    <t>MENSAJE N° 52/26 QUE SOLICITA ACUERDO PARA DESIGNAR DEFENSOR PUBLICO CURADOR DE LA DEFENSORIA GENERAL DE LA NACION, DEFENSORIA PUBLICA CURADURIA N° 4, AL DR. FELIPE ALBERTO ALLIAUD.</t>
  </si>
  <si>
    <t>MENSAJE N° 51/26 QUE SOLICITA ACUERDO PARA DESIGNAR DEFENSOR PUBLICO DE MENORES E INCAPACES ANTE LOS JUZGADOS NACIONALES DE PRIMERA INSTANCIA EN LO CIVIL, COMERCIAL Y DEL TRABAJO DE LA CAPITAL FEDERAL, DEFENSORIA N° 2, AL DR. LUCAS MARCELO BELLOTTI SAN MARTIN.</t>
  </si>
  <si>
    <t>MENSAJE N° 50/26 QUE SOLICITA ACUERDO PARA DESIGNAR DEFENSORA PUBLICA DE MENORES E INCAPACES ANTE LOS JUZGADOS NACIONALES DE PRIMERA INSTANCIA EN LO CIVIL, COMERCIAL Y DEL TRABAJO DE LA CAPITAL FEDERAL, DEFENSORIA N° 3, A LA DRA. MARCELA LORENA SASSO.</t>
  </si>
  <si>
    <t>MENSAJE N° 49/26 QUE SOLICITA ACUERDO PARA DESIGNAR DEFENSORA PUBLICA DE MENORES E INCAPACES ANTE LOS JUZGADOS NACIONALES DE PRIMERA INSTANCIA EN LO CIVIL, COMERCIAL Y DEL TRABAJO DE LA CAPITAL FEDERAL, DEFENSORIA N° 7, A LA DRA. VERONICA MABEL POLVERINI.</t>
  </si>
  <si>
    <t>MENSAJE N° 48/26 QUE SOLICITA ACUERDO PARA DESIGNAR VOCAL DE LA CAMARA NACIONAL DE APELACIONES EN LO PENAL ECONOMICO, SALA A, AL DR. JUAN PEDRO GALVAN GREENWAY.</t>
  </si>
  <si>
    <t>MENSAJE N° 47/26 QUE SOLICITA ACUERDO PARA DESIGNAR JUEZ DE CAMARA DEL TRIBUNAL ORAL EN LO CRIMINAL FEDERAL N° 2 DE LA PLATA, PROVINCIA DE BUENOS AIRES, AL DR. PABLO EZEQUIEL WILK.</t>
  </si>
  <si>
    <t>MENSAJE N° 46/26 QUE SOLICITA ACUERDO PARA DESIGNAR VOCAL DE LA CAMARA NACIONAL DE APELACIONES EN LO PENAL ECONOMICO, SALA B,  AL DR. ALEJANDRO JAVIER CATANIA.</t>
  </si>
  <si>
    <t xml:space="preserve">MENSAJE N° 45/26 QUE SOLICITA ACUERDO PARA DESIGNAR CONJUECES DE LOS JUZGADOS NACIONALES DE PRIMERA INSTANCIA EN LO CIVIL CON COMPETENCIA EXCLUSIVA EN ASUNTOS DE FAMILIA Y CAPACIDAD DE LAS PERSONAS DE LA JURISDICCION DE LA CAMARA NACIONAL DE APELACIONES EN LO CIVIL DE LA CAPITAL FEDERAL.
</t>
  </si>
  <si>
    <t xml:space="preserve"> 15/05/2026 -  -</t>
  </si>
  <si>
    <t xml:space="preserve"> 30/03/2026 - 16/06/2026 -</t>
  </si>
  <si>
    <t>MENSAJE N° 44/26 QUE SOLICITA ACUERDO PARA DESIGNAR JUEZA DE CAMARA DEL TRIBUNAL ORAL EN LO CRIMINAL FEDERAL N° 3 DE LA PLATA, PROVINCIA DE BUENOS AIRES, A LA DRA. MARIA JULIA SOSA.</t>
  </si>
  <si>
    <t>MENSAJE N° 43/26 QUE SOLICITA ACUERDO PARA DESIGNAR JUEZ DEL JUZGADO NACIONAL DE PRIMERA INSTANCIA EN LO CIVIL N° 95 DE LA CAPITAL FEDERAL, AL DR. JUAN MARTIN BALCAZAR.</t>
  </si>
  <si>
    <t>MENSAJE N° 42/26 QUE SOLICITA ACUERDO PARA DESIGNAR JUEZA DE CAMARA DEL TRIBUNAL ORAL EN LO CRIMINAL FEDERAL N° 3 DE LA PLATA, PROVINCIA DE BUENOS AIRES, A LA DRA. MARIA VERONICA MICHELLI.</t>
  </si>
  <si>
    <t xml:space="preserve"> 03/06/2026 -</t>
  </si>
  <si>
    <t>03/06/2026</t>
  </si>
  <si>
    <t>MENSAJE N° 41/26 QUE SOLICITA ACUERDO PARA DESIGNAR JUEZ DE CAMARA DEL TRIBUNAL ORAL EN LO CRIMINAL FEDERAL N° 3 DE LA PLATA, PROVINCIA DE BUENOS AIRES, AL DR. CARLOS FABIAN CUESTA.</t>
  </si>
  <si>
    <t>MENSAJE N° 40/26 QUE SOLICITA ACUERDO PARA DESIGNAR JUEZA DEL JUZGADO NACIONAL EN LO CRIMINAL Y CORRECCIONAL N° 18 DE LA CAPITAL FEDERAL, A LA DRA. SOLEDAD EUGENIA MARIÑO.</t>
  </si>
  <si>
    <t>MENSAJE N° 39/26 QUE SOLICITA ACUERDO PARA DESIGNAR JUEZA DEL JUZGADO NACIONAL EN LO CRIMINAL Y CORRECCIONAL N° 14 DE LA CAPITAL FEDERAL, A LA DRA. PAULA FUERTES.</t>
  </si>
  <si>
    <t xml:space="preserve">MENSAJE N° 38/26 QUE SOLICITA ACUERDO PARA DESIGNAR JUEZ DE CAMARA DEL TRIBUNAL ORAL EN LO CRIMINAL FEDERAL N° 1 DE LA PLATA, PROVINCIA DE BUENOS AIRES, AL DR. CLAUDIO RICARDO SILVESTRI.
</t>
  </si>
  <si>
    <t>MENSAJE N° 37/26 QUE SOLICITA ACUERDO PARA DESIGNAR DEFENSORA PUBLICA OFICIAL ANTE LOS JUZGADOS Y ANTE LA CAMARA NACIONAL DE APELACIONES EN LO PENAL ECONOMICO, DEFENSORIA N° 1, A LA DRA. MARIA INES RESTON.</t>
  </si>
  <si>
    <t>MENSAJE N° 36/26 QUE SOLICITA ACUERDO PARA DESIGNAR JUEZA DEL JUZGADO NACIONAL EN LO CRIMINAL Y CORRECCIONAL N° 17 DE LA CAPITAL FEDERAL, A LA DRA. MARIA GLORIA CAPANEGRA.</t>
  </si>
  <si>
    <t xml:space="preserve">MENSAJE N° 35/26 QUE SOLICITA ACUERDO PARA DESIGNAR VOCAL DE LA CAMARA FEDERAL DE APELACIONES DE LA PLATA, PROVINCIA DE BUENOS AIRES, SALA III, AL DR. EMILIO SANTIAGO FAGGI.
</t>
  </si>
  <si>
    <t>MENSAJE N° 34/26 QUE SOLICITA ACUERDO PARA DESIGNAR JUEZ DEL JUZGADO NACIONAL EN LO CRIMINAL Y CORRECCIONAL N° 59 DE LA CAPITAL FEDERAL, AL DR. SANTIAGO JOSE JAIMES MUNILLA.</t>
  </si>
  <si>
    <t>MENSAJE N° 33/26 QUE SOLICITA ACUERDO PARA DESIGNAR JUEZA DE CAMARA DEL TRIBUNAL ORAL EN LO CRIMINAL Y CORRECCIONAL N° 20 DE LA CAPITAL FEDERAL, A LA DRA. IVANA SANDRA QUINTEROS.</t>
  </si>
  <si>
    <t>MENSAJE N° 32/26 QUE SOLICITA ACUERDO PARA DESIGNAR VOCAL DE LA CAMARA NACIONAL DE CASACION EN LO CRIMINAL Y CORRECCIONAL DE LA CAPITAL FEDERAL, VOCALIA N° 10, AL DR. NICOLAS GRAPPASONNO.</t>
  </si>
  <si>
    <t>MENSAJE N° 30/26 QUE SOLICITA ACUERDO PARA DESIGNAR JUEZ DEL JUZGADO NACIONAL DE PRIMERA INSTANCIA EN LO CIVIL N° 44 DE LA CAPITAL FEDERAL, AL DR. JULIAN HERRERA.</t>
  </si>
  <si>
    <t>MENSAJE N° 29/26 QUE SOLICITA ACUERDO PARA DESIGNAR JUEZ DEL JUZGADO NACIONAL DE MENORES N° 2 DE LA CAPITAL FEDERAL AL DR. IGNACIO LABADENS.</t>
  </si>
  <si>
    <t>MENSAJE N° 28/26 QUE SOLICITA ACUERDO PARA DESIGNAR JUEZ DEL JUZGADO NACIONAL DE PRIMERA INSTANCIA EN LO CIVIL N° 5 DE LA CAPITAL FEDERAL, AL DR. JAVIER ALBERTO SANTISO.</t>
  </si>
  <si>
    <t>MENSAJE N° 27/26 QUE SOLICITA ACUERDO PARA DESIGNAR JUEZ DEL JUZGADO NACIONAL EN LO CRIMINAL Y CORRECCIONAL N° 13 DE LA CAPITAL FEDERAL, AL DR. SANTIAGO ALBERTO PONCIO.</t>
  </si>
  <si>
    <t>MENSAJE N° 26/26 QUE SOLICITA ACUERDO PARA DESIGNAR JUEZ DE CAMARA DEL TRIBUNAL ORAL EN LO CRIMINAL Y CORRECCIONAL N° 1 DE LA CAPITAL FEDERAL, AL DR. NICOLAS ANTONIO PACILIO.</t>
  </si>
  <si>
    <t>MENSAJE N° 25/26 QUE SOLICITA ACUERDO PARA DESIGNAR JUEZ DE CAMARA DEL TRIBUNAL ORAL DE MENORES N° 3 DE LA CAPITAL FEDERAL, AL DR. RICARDO SANTIAGO LOMBARDO.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</si>
</sst>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rgb="FF000000"/>
      <name val="Calibri"/>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2" numFmtId="0" xfId="0" applyFont="1"/>
    <xf borderId="0" fillId="0" fontId="3"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5.57"/>
    <col customWidth="1" min="3" max="3" width="5.43"/>
    <col customWidth="1" min="4" max="4" width="5.29"/>
    <col customWidth="1" min="5" max="5" width="99.29"/>
    <col customWidth="1" min="6" max="26" width="40.0"/>
    <col customWidth="1" min="27" max="39" width="9.14"/>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3" t="s">
        <v>39</v>
      </c>
      <c r="B2" s="4" t="str">
        <f>HYPERLINK("https://www.senado.gob.ar/parlamentario/comisiones/verExp/269.26/PE/AC","269")</f>
        <v>269</v>
      </c>
      <c r="C2" s="4" t="str">
        <f>HYPERLINK("https://www.senado.gob.ar/parlamentario/comisiones/verExp/269.26/PE/AC","2026")</f>
        <v>2026</v>
      </c>
      <c r="D2" s="3" t="s">
        <v>40</v>
      </c>
      <c r="E2" s="5" t="s">
        <v>41</v>
      </c>
      <c r="F2" s="3" t="s">
        <v>42</v>
      </c>
      <c r="I2" s="3" t="s">
        <v>43</v>
      </c>
      <c r="K2" s="3" t="s">
        <v>44</v>
      </c>
      <c r="L2" s="3" t="s">
        <v>43</v>
      </c>
      <c r="O2" s="3">
        <v>71.0</v>
      </c>
      <c r="P2" s="3" t="s">
        <v>45</v>
      </c>
      <c r="Q2" s="3" t="s">
        <v>46</v>
      </c>
      <c r="AI2" s="3" t="str">
        <f t="shared" ref="AI2:AI56" si="1">HYPERLINK("","")</f>
        <v/>
      </c>
      <c r="AJ2" s="3" t="s">
        <v>47</v>
      </c>
      <c r="AK2" s="3" t="s">
        <v>48</v>
      </c>
    </row>
    <row r="3">
      <c r="A3" s="3" t="s">
        <v>39</v>
      </c>
      <c r="B3" s="4" t="str">
        <f>HYPERLINK("https://www.senado.gob.ar/parlamentario/comisiones/verExp/268.26/PE/AC","268")</f>
        <v>268</v>
      </c>
      <c r="C3" s="4" t="str">
        <f>HYPERLINK("https://www.senado.gob.ar/parlamentario/comisiones/verExp/268.26/PE/AC","2026")</f>
        <v>2026</v>
      </c>
      <c r="D3" s="3" t="s">
        <v>40</v>
      </c>
      <c r="E3" s="5" t="s">
        <v>49</v>
      </c>
      <c r="F3" s="3" t="s">
        <v>42</v>
      </c>
      <c r="I3" s="3" t="s">
        <v>43</v>
      </c>
      <c r="K3" s="3" t="s">
        <v>44</v>
      </c>
      <c r="L3" s="3" t="s">
        <v>43</v>
      </c>
      <c r="O3" s="3">
        <v>71.0</v>
      </c>
      <c r="P3" s="3" t="s">
        <v>45</v>
      </c>
      <c r="Q3" s="3" t="s">
        <v>46</v>
      </c>
      <c r="AI3" s="3" t="str">
        <f t="shared" si="1"/>
        <v/>
      </c>
      <c r="AJ3" s="3" t="s">
        <v>47</v>
      </c>
      <c r="AK3" s="3" t="s">
        <v>48</v>
      </c>
    </row>
    <row r="4">
      <c r="A4" s="3" t="s">
        <v>39</v>
      </c>
      <c r="B4" s="4" t="str">
        <f>HYPERLINK("https://www.senado.gob.ar/parlamentario/comisiones/verExp/267.26/PE/AC","267")</f>
        <v>267</v>
      </c>
      <c r="C4" s="4" t="str">
        <f>HYPERLINK("https://www.senado.gob.ar/parlamentario/comisiones/verExp/267.26/PE/AC","2026")</f>
        <v>2026</v>
      </c>
      <c r="D4" s="3" t="s">
        <v>40</v>
      </c>
      <c r="E4" s="5" t="s">
        <v>50</v>
      </c>
      <c r="F4" s="3" t="s">
        <v>42</v>
      </c>
      <c r="I4" s="3" t="s">
        <v>43</v>
      </c>
      <c r="K4" s="3" t="s">
        <v>44</v>
      </c>
      <c r="L4" s="3" t="s">
        <v>43</v>
      </c>
      <c r="O4" s="3">
        <v>71.0</v>
      </c>
      <c r="P4" s="3" t="s">
        <v>45</v>
      </c>
      <c r="Q4" s="3" t="s">
        <v>46</v>
      </c>
      <c r="AI4" s="3" t="str">
        <f t="shared" si="1"/>
        <v/>
      </c>
      <c r="AJ4" s="3" t="s">
        <v>47</v>
      </c>
      <c r="AK4" s="3" t="s">
        <v>48</v>
      </c>
    </row>
    <row r="5">
      <c r="A5" s="3" t="s">
        <v>39</v>
      </c>
      <c r="B5" s="4" t="str">
        <f>HYPERLINK("https://www.senado.gob.ar/parlamentario/comisiones/verExp/266.26/PE/AC","266")</f>
        <v>266</v>
      </c>
      <c r="C5" s="4" t="str">
        <f>HYPERLINK("https://www.senado.gob.ar/parlamentario/comisiones/verExp/266.26/PE/AC","2026")</f>
        <v>2026</v>
      </c>
      <c r="D5" s="3" t="s">
        <v>40</v>
      </c>
      <c r="E5" s="5" t="s">
        <v>51</v>
      </c>
      <c r="F5" s="3" t="s">
        <v>42</v>
      </c>
      <c r="I5" s="3" t="s">
        <v>43</v>
      </c>
      <c r="K5" s="3" t="s">
        <v>44</v>
      </c>
      <c r="L5" s="3" t="s">
        <v>43</v>
      </c>
      <c r="O5" s="3">
        <v>71.0</v>
      </c>
      <c r="P5" s="3" t="s">
        <v>45</v>
      </c>
      <c r="Q5" s="3" t="s">
        <v>46</v>
      </c>
      <c r="AI5" s="3" t="str">
        <f t="shared" si="1"/>
        <v/>
      </c>
      <c r="AJ5" s="3" t="s">
        <v>47</v>
      </c>
      <c r="AK5" s="3" t="s">
        <v>48</v>
      </c>
    </row>
    <row r="6">
      <c r="A6" s="3" t="s">
        <v>39</v>
      </c>
      <c r="B6" s="4" t="str">
        <f>HYPERLINK("https://www.senado.gob.ar/parlamentario/comisiones/verExp/265.26/PE/AC","265")</f>
        <v>265</v>
      </c>
      <c r="C6" s="4" t="str">
        <f>HYPERLINK("https://www.senado.gob.ar/parlamentario/comisiones/verExp/265.26/PE/AC","2026")</f>
        <v>2026</v>
      </c>
      <c r="D6" s="3" t="s">
        <v>40</v>
      </c>
      <c r="E6" s="5" t="s">
        <v>52</v>
      </c>
      <c r="F6" s="3" t="s">
        <v>42</v>
      </c>
      <c r="I6" s="3" t="s">
        <v>43</v>
      </c>
      <c r="K6" s="3" t="s">
        <v>44</v>
      </c>
      <c r="L6" s="3" t="s">
        <v>43</v>
      </c>
      <c r="O6" s="3">
        <v>71.0</v>
      </c>
      <c r="P6" s="3" t="s">
        <v>45</v>
      </c>
      <c r="Q6" s="3" t="s">
        <v>46</v>
      </c>
      <c r="AI6" s="3" t="str">
        <f t="shared" si="1"/>
        <v/>
      </c>
      <c r="AJ6" s="3" t="s">
        <v>47</v>
      </c>
      <c r="AK6" s="3" t="s">
        <v>48</v>
      </c>
    </row>
    <row r="7">
      <c r="A7" s="3" t="s">
        <v>39</v>
      </c>
      <c r="B7" s="4" t="str">
        <f>HYPERLINK("https://www.senado.gob.ar/parlamentario/comisiones/verExp/264.26/PE/AC","264")</f>
        <v>264</v>
      </c>
      <c r="C7" s="4" t="str">
        <f>HYPERLINK("https://www.senado.gob.ar/parlamentario/comisiones/verExp/264.26/PE/AC","2026")</f>
        <v>2026</v>
      </c>
      <c r="D7" s="3" t="s">
        <v>40</v>
      </c>
      <c r="E7" s="5" t="s">
        <v>53</v>
      </c>
      <c r="F7" s="3" t="s">
        <v>42</v>
      </c>
      <c r="I7" s="3" t="s">
        <v>43</v>
      </c>
      <c r="K7" s="3" t="s">
        <v>44</v>
      </c>
      <c r="L7" s="3" t="s">
        <v>43</v>
      </c>
      <c r="O7" s="3">
        <v>71.0</v>
      </c>
      <c r="P7" s="3" t="s">
        <v>45</v>
      </c>
      <c r="Q7" s="3" t="s">
        <v>46</v>
      </c>
      <c r="AI7" s="3" t="str">
        <f t="shared" si="1"/>
        <v/>
      </c>
      <c r="AJ7" s="3" t="s">
        <v>47</v>
      </c>
      <c r="AK7" s="3" t="s">
        <v>48</v>
      </c>
    </row>
    <row r="8">
      <c r="A8" s="3" t="s">
        <v>39</v>
      </c>
      <c r="B8" s="4" t="str">
        <f>HYPERLINK("https://www.senado.gob.ar/parlamentario/comisiones/verExp/263.26/PE/AC","263")</f>
        <v>263</v>
      </c>
      <c r="C8" s="4" t="str">
        <f>HYPERLINK("https://www.senado.gob.ar/parlamentario/comisiones/verExp/263.26/PE/AC","2026")</f>
        <v>2026</v>
      </c>
      <c r="D8" s="3" t="s">
        <v>40</v>
      </c>
      <c r="E8" s="5" t="s">
        <v>54</v>
      </c>
      <c r="F8" s="3" t="s">
        <v>42</v>
      </c>
      <c r="I8" s="3" t="s">
        <v>43</v>
      </c>
      <c r="K8" s="3" t="s">
        <v>44</v>
      </c>
      <c r="L8" s="3" t="s">
        <v>43</v>
      </c>
      <c r="O8" s="3">
        <v>71.0</v>
      </c>
      <c r="P8" s="3" t="s">
        <v>45</v>
      </c>
      <c r="Q8" s="3" t="s">
        <v>46</v>
      </c>
      <c r="AI8" s="3" t="str">
        <f t="shared" si="1"/>
        <v/>
      </c>
      <c r="AJ8" s="3" t="s">
        <v>47</v>
      </c>
      <c r="AK8" s="3" t="s">
        <v>48</v>
      </c>
    </row>
    <row r="9">
      <c r="A9" s="3" t="s">
        <v>39</v>
      </c>
      <c r="B9" s="4" t="str">
        <f>HYPERLINK("https://www.senado.gob.ar/parlamentario/comisiones/verExp/262.26/PE/AC","262")</f>
        <v>262</v>
      </c>
      <c r="C9" s="4" t="str">
        <f>HYPERLINK("https://www.senado.gob.ar/parlamentario/comisiones/verExp/262.26/PE/AC","2026")</f>
        <v>2026</v>
      </c>
      <c r="D9" s="3" t="s">
        <v>40</v>
      </c>
      <c r="E9" s="5" t="s">
        <v>55</v>
      </c>
      <c r="F9" s="3" t="s">
        <v>56</v>
      </c>
      <c r="I9" s="3" t="s">
        <v>57</v>
      </c>
      <c r="K9" s="3" t="s">
        <v>44</v>
      </c>
      <c r="L9" s="3" t="s">
        <v>57</v>
      </c>
      <c r="O9" s="3">
        <v>71.0</v>
      </c>
      <c r="P9" s="3" t="s">
        <v>45</v>
      </c>
      <c r="Q9" s="3" t="s">
        <v>58</v>
      </c>
      <c r="AI9" s="3" t="str">
        <f t="shared" si="1"/>
        <v/>
      </c>
      <c r="AJ9" s="3" t="s">
        <v>47</v>
      </c>
      <c r="AK9" s="3" t="s">
        <v>48</v>
      </c>
    </row>
    <row r="10">
      <c r="A10" s="3" t="s">
        <v>39</v>
      </c>
      <c r="B10" s="4" t="str">
        <f>HYPERLINK("https://www.senado.gob.ar/parlamentario/comisiones/verExp/261.26/PE/AC","261")</f>
        <v>261</v>
      </c>
      <c r="C10" s="4" t="str">
        <f>HYPERLINK("https://www.senado.gob.ar/parlamentario/comisiones/verExp/261.26/PE/AC","2026")</f>
        <v>2026</v>
      </c>
      <c r="D10" s="3" t="s">
        <v>40</v>
      </c>
      <c r="E10" s="5" t="s">
        <v>59</v>
      </c>
      <c r="F10" s="3" t="s">
        <v>56</v>
      </c>
      <c r="I10" s="3" t="s">
        <v>57</v>
      </c>
      <c r="K10" s="3" t="s">
        <v>44</v>
      </c>
      <c r="L10" s="3" t="s">
        <v>57</v>
      </c>
      <c r="O10" s="3">
        <v>71.0</v>
      </c>
      <c r="P10" s="3" t="s">
        <v>45</v>
      </c>
      <c r="Q10" s="3" t="s">
        <v>58</v>
      </c>
      <c r="AI10" s="3" t="str">
        <f t="shared" si="1"/>
        <v/>
      </c>
      <c r="AJ10" s="3" t="s">
        <v>47</v>
      </c>
      <c r="AK10" s="3" t="s">
        <v>48</v>
      </c>
    </row>
    <row r="11">
      <c r="A11" s="3" t="s">
        <v>39</v>
      </c>
      <c r="B11" s="4" t="str">
        <f>HYPERLINK("https://www.senado.gob.ar/parlamentario/comisiones/verExp/260.26/PE/AC","260")</f>
        <v>260</v>
      </c>
      <c r="C11" s="4" t="str">
        <f>HYPERLINK("https://www.senado.gob.ar/parlamentario/comisiones/verExp/260.26/PE/AC","2026")</f>
        <v>2026</v>
      </c>
      <c r="D11" s="3" t="s">
        <v>40</v>
      </c>
      <c r="E11" s="5" t="s">
        <v>60</v>
      </c>
      <c r="F11" s="3" t="s">
        <v>56</v>
      </c>
      <c r="I11" s="3" t="s">
        <v>57</v>
      </c>
      <c r="K11" s="3" t="s">
        <v>44</v>
      </c>
      <c r="L11" s="3" t="s">
        <v>57</v>
      </c>
      <c r="O11" s="3">
        <v>71.0</v>
      </c>
      <c r="P11" s="3" t="s">
        <v>45</v>
      </c>
      <c r="Q11" s="3" t="s">
        <v>58</v>
      </c>
      <c r="AI11" s="3" t="str">
        <f t="shared" si="1"/>
        <v/>
      </c>
      <c r="AJ11" s="3" t="s">
        <v>47</v>
      </c>
      <c r="AK11" s="3" t="s">
        <v>48</v>
      </c>
    </row>
    <row r="12">
      <c r="A12" s="3" t="s">
        <v>39</v>
      </c>
      <c r="B12" s="4" t="str">
        <f>HYPERLINK("https://www.senado.gob.ar/parlamentario/comisiones/verExp/259.26/PE/AC","259")</f>
        <v>259</v>
      </c>
      <c r="C12" s="4" t="str">
        <f>HYPERLINK("https://www.senado.gob.ar/parlamentario/comisiones/verExp/259.26/PE/AC","2026")</f>
        <v>2026</v>
      </c>
      <c r="D12" s="3" t="s">
        <v>40</v>
      </c>
      <c r="E12" s="5" t="s">
        <v>61</v>
      </c>
      <c r="F12" s="3" t="s">
        <v>56</v>
      </c>
      <c r="I12" s="3" t="s">
        <v>57</v>
      </c>
      <c r="K12" s="3" t="s">
        <v>44</v>
      </c>
      <c r="L12" s="3" t="s">
        <v>57</v>
      </c>
      <c r="O12" s="3">
        <v>71.0</v>
      </c>
      <c r="P12" s="3" t="s">
        <v>45</v>
      </c>
      <c r="Q12" s="3" t="s">
        <v>58</v>
      </c>
      <c r="AI12" s="3" t="str">
        <f t="shared" si="1"/>
        <v/>
      </c>
      <c r="AJ12" s="3" t="s">
        <v>47</v>
      </c>
      <c r="AK12" s="3" t="s">
        <v>48</v>
      </c>
    </row>
    <row r="13">
      <c r="A13" s="3" t="s">
        <v>39</v>
      </c>
      <c r="B13" s="4" t="str">
        <f>HYPERLINK("https://www.senado.gob.ar/parlamentario/comisiones/verExp/258.26/PE/AC","258")</f>
        <v>258</v>
      </c>
      <c r="C13" s="4" t="str">
        <f>HYPERLINK("https://www.senado.gob.ar/parlamentario/comisiones/verExp/258.26/PE/AC","2026")</f>
        <v>2026</v>
      </c>
      <c r="D13" s="3" t="s">
        <v>40</v>
      </c>
      <c r="E13" s="5" t="s">
        <v>62</v>
      </c>
      <c r="F13" s="3" t="s">
        <v>56</v>
      </c>
      <c r="I13" s="3" t="s">
        <v>57</v>
      </c>
      <c r="K13" s="3" t="s">
        <v>44</v>
      </c>
      <c r="L13" s="3" t="s">
        <v>57</v>
      </c>
      <c r="O13" s="3">
        <v>71.0</v>
      </c>
      <c r="P13" s="3" t="s">
        <v>45</v>
      </c>
      <c r="Q13" s="3" t="s">
        <v>58</v>
      </c>
      <c r="AI13" s="3" t="str">
        <f t="shared" si="1"/>
        <v/>
      </c>
      <c r="AJ13" s="3" t="s">
        <v>47</v>
      </c>
      <c r="AK13" s="3" t="s">
        <v>48</v>
      </c>
    </row>
    <row r="14">
      <c r="A14" s="3" t="s">
        <v>39</v>
      </c>
      <c r="B14" s="4" t="str">
        <f>HYPERLINK("https://www.senado.gob.ar/parlamentario/comisiones/verExp/257.26/PE/AC","257")</f>
        <v>257</v>
      </c>
      <c r="C14" s="4" t="str">
        <f>HYPERLINK("https://www.senado.gob.ar/parlamentario/comisiones/verExp/257.26/PE/AC","2026")</f>
        <v>2026</v>
      </c>
      <c r="D14" s="3" t="s">
        <v>40</v>
      </c>
      <c r="E14" s="5" t="s">
        <v>63</v>
      </c>
      <c r="F14" s="3" t="s">
        <v>56</v>
      </c>
      <c r="I14" s="3" t="s">
        <v>57</v>
      </c>
      <c r="K14" s="3" t="s">
        <v>44</v>
      </c>
      <c r="L14" s="3" t="s">
        <v>57</v>
      </c>
      <c r="O14" s="3">
        <v>71.0</v>
      </c>
      <c r="P14" s="3" t="s">
        <v>45</v>
      </c>
      <c r="Q14" s="3" t="s">
        <v>58</v>
      </c>
      <c r="AI14" s="3" t="str">
        <f t="shared" si="1"/>
        <v/>
      </c>
      <c r="AJ14" s="3" t="s">
        <v>47</v>
      </c>
      <c r="AK14" s="3" t="s">
        <v>48</v>
      </c>
    </row>
    <row r="15">
      <c r="A15" s="3" t="s">
        <v>39</v>
      </c>
      <c r="B15" s="4" t="str">
        <f>HYPERLINK("https://www.senado.gob.ar/parlamentario/comisiones/verExp/256.26/PE/AC","256")</f>
        <v>256</v>
      </c>
      <c r="C15" s="4" t="str">
        <f>HYPERLINK("https://www.senado.gob.ar/parlamentario/comisiones/verExp/256.26/PE/AC","2026")</f>
        <v>2026</v>
      </c>
      <c r="D15" s="3" t="s">
        <v>40</v>
      </c>
      <c r="E15" s="5" t="s">
        <v>64</v>
      </c>
      <c r="F15" s="3" t="s">
        <v>56</v>
      </c>
      <c r="I15" s="3" t="s">
        <v>57</v>
      </c>
      <c r="K15" s="3" t="s">
        <v>44</v>
      </c>
      <c r="L15" s="3" t="s">
        <v>57</v>
      </c>
      <c r="O15" s="3">
        <v>71.0</v>
      </c>
      <c r="P15" s="3" t="s">
        <v>45</v>
      </c>
      <c r="Q15" s="3" t="s">
        <v>58</v>
      </c>
      <c r="AI15" s="3" t="str">
        <f t="shared" si="1"/>
        <v/>
      </c>
      <c r="AJ15" s="3" t="s">
        <v>47</v>
      </c>
      <c r="AK15" s="3" t="s">
        <v>48</v>
      </c>
    </row>
    <row r="16" ht="15.75" customHeight="1">
      <c r="A16" s="3" t="s">
        <v>39</v>
      </c>
      <c r="B16" s="4" t="str">
        <f>HYPERLINK("https://www.senado.gob.ar/parlamentario/comisiones/verExp/255.26/PE/AC","255")</f>
        <v>255</v>
      </c>
      <c r="C16" s="4" t="str">
        <f>HYPERLINK("https://www.senado.gob.ar/parlamentario/comisiones/verExp/255.26/PE/AC","2026")</f>
        <v>2026</v>
      </c>
      <c r="D16" s="3" t="s">
        <v>40</v>
      </c>
      <c r="E16" s="5" t="s">
        <v>65</v>
      </c>
      <c r="F16" s="3" t="s">
        <v>56</v>
      </c>
      <c r="I16" s="3" t="s">
        <v>57</v>
      </c>
      <c r="K16" s="3" t="s">
        <v>44</v>
      </c>
      <c r="L16" s="3" t="s">
        <v>57</v>
      </c>
      <c r="O16" s="3">
        <v>71.0</v>
      </c>
      <c r="P16" s="3" t="s">
        <v>45</v>
      </c>
      <c r="Q16" s="3" t="s">
        <v>58</v>
      </c>
      <c r="AI16" s="3" t="str">
        <f t="shared" si="1"/>
        <v/>
      </c>
      <c r="AJ16" s="3" t="s">
        <v>47</v>
      </c>
      <c r="AK16" s="3" t="s">
        <v>48</v>
      </c>
    </row>
    <row r="17" ht="15.75" customHeight="1">
      <c r="A17" s="3" t="s">
        <v>39</v>
      </c>
      <c r="B17" s="4" t="str">
        <f>HYPERLINK("https://www.senado.gob.ar/parlamentario/comisiones/verExp/254.26/PE/AC","254")</f>
        <v>254</v>
      </c>
      <c r="C17" s="4" t="str">
        <f>HYPERLINK("https://www.senado.gob.ar/parlamentario/comisiones/verExp/254.26/PE/AC","2026")</f>
        <v>2026</v>
      </c>
      <c r="D17" s="3" t="s">
        <v>40</v>
      </c>
      <c r="E17" s="5" t="s">
        <v>66</v>
      </c>
      <c r="F17" s="3" t="s">
        <v>56</v>
      </c>
      <c r="I17" s="3" t="s">
        <v>57</v>
      </c>
      <c r="K17" s="3" t="s">
        <v>44</v>
      </c>
      <c r="L17" s="3" t="s">
        <v>57</v>
      </c>
      <c r="O17" s="3">
        <v>71.0</v>
      </c>
      <c r="P17" s="3" t="s">
        <v>45</v>
      </c>
      <c r="Q17" s="3" t="s">
        <v>58</v>
      </c>
      <c r="AI17" s="3" t="str">
        <f t="shared" si="1"/>
        <v/>
      </c>
      <c r="AJ17" s="3" t="s">
        <v>47</v>
      </c>
      <c r="AK17" s="3" t="s">
        <v>48</v>
      </c>
    </row>
    <row r="18" ht="15.75" customHeight="1">
      <c r="A18" s="3" t="s">
        <v>39</v>
      </c>
      <c r="B18" s="4" t="str">
        <f>HYPERLINK("https://www.senado.gob.ar/parlamentario/comisiones/verExp/253.26/PE/AC","253")</f>
        <v>253</v>
      </c>
      <c r="C18" s="4" t="str">
        <f>HYPERLINK("https://www.senado.gob.ar/parlamentario/comisiones/verExp/253.26/PE/AC","2026")</f>
        <v>2026</v>
      </c>
      <c r="D18" s="3" t="s">
        <v>40</v>
      </c>
      <c r="E18" s="5" t="s">
        <v>67</v>
      </c>
      <c r="F18" s="3" t="s">
        <v>56</v>
      </c>
      <c r="I18" s="3" t="s">
        <v>57</v>
      </c>
      <c r="K18" s="3" t="s">
        <v>44</v>
      </c>
      <c r="L18" s="3" t="s">
        <v>57</v>
      </c>
      <c r="O18" s="3">
        <v>71.0</v>
      </c>
      <c r="P18" s="3" t="s">
        <v>45</v>
      </c>
      <c r="Q18" s="3" t="s">
        <v>58</v>
      </c>
      <c r="AI18" s="3" t="str">
        <f t="shared" si="1"/>
        <v/>
      </c>
      <c r="AJ18" s="3" t="s">
        <v>47</v>
      </c>
      <c r="AK18" s="3" t="s">
        <v>48</v>
      </c>
    </row>
    <row r="19" ht="15.75" customHeight="1">
      <c r="A19" s="3" t="s">
        <v>39</v>
      </c>
      <c r="B19" s="4" t="str">
        <f>HYPERLINK("https://www.senado.gob.ar/parlamentario/comisiones/verExp/252.26/PE/AC","252")</f>
        <v>252</v>
      </c>
      <c r="C19" s="4" t="str">
        <f>HYPERLINK("https://www.senado.gob.ar/parlamentario/comisiones/verExp/252.26/PE/AC","2026")</f>
        <v>2026</v>
      </c>
      <c r="D19" s="3" t="s">
        <v>40</v>
      </c>
      <c r="E19" s="5" t="s">
        <v>68</v>
      </c>
      <c r="F19" s="3" t="s">
        <v>56</v>
      </c>
      <c r="I19" s="3" t="s">
        <v>57</v>
      </c>
      <c r="K19" s="3" t="s">
        <v>44</v>
      </c>
      <c r="L19" s="3" t="s">
        <v>57</v>
      </c>
      <c r="O19" s="3">
        <v>71.0</v>
      </c>
      <c r="P19" s="3" t="s">
        <v>45</v>
      </c>
      <c r="Q19" s="3" t="s">
        <v>58</v>
      </c>
      <c r="AI19" s="3" t="str">
        <f t="shared" si="1"/>
        <v/>
      </c>
      <c r="AJ19" s="3" t="s">
        <v>47</v>
      </c>
      <c r="AK19" s="3" t="s">
        <v>48</v>
      </c>
    </row>
    <row r="20" ht="15.75" customHeight="1">
      <c r="A20" s="3" t="s">
        <v>39</v>
      </c>
      <c r="B20" s="4" t="str">
        <f>HYPERLINK("https://www.senado.gob.ar/parlamentario/comisiones/verExp/251.26/PE/AC","251")</f>
        <v>251</v>
      </c>
      <c r="C20" s="4" t="str">
        <f>HYPERLINK("https://www.senado.gob.ar/parlamentario/comisiones/verExp/251.26/PE/AC","2026")</f>
        <v>2026</v>
      </c>
      <c r="D20" s="3" t="s">
        <v>40</v>
      </c>
      <c r="E20" s="5" t="s">
        <v>69</v>
      </c>
      <c r="F20" s="3" t="s">
        <v>56</v>
      </c>
      <c r="I20" s="3" t="s">
        <v>57</v>
      </c>
      <c r="K20" s="3" t="s">
        <v>44</v>
      </c>
      <c r="L20" s="3" t="s">
        <v>57</v>
      </c>
      <c r="O20" s="3">
        <v>71.0</v>
      </c>
      <c r="P20" s="3" t="s">
        <v>45</v>
      </c>
      <c r="Q20" s="3" t="s">
        <v>58</v>
      </c>
      <c r="AI20" s="3" t="str">
        <f t="shared" si="1"/>
        <v/>
      </c>
      <c r="AJ20" s="3" t="s">
        <v>47</v>
      </c>
      <c r="AK20" s="3" t="s">
        <v>48</v>
      </c>
    </row>
    <row r="21" ht="15.75" customHeight="1">
      <c r="A21" s="3" t="s">
        <v>39</v>
      </c>
      <c r="B21" s="4" t="str">
        <f>HYPERLINK("https://www.senado.gob.ar/parlamentario/comisiones/verExp/250.26/PE/AC","250")</f>
        <v>250</v>
      </c>
      <c r="C21" s="4" t="str">
        <f>HYPERLINK("https://www.senado.gob.ar/parlamentario/comisiones/verExp/250.26/PE/AC","2026")</f>
        <v>2026</v>
      </c>
      <c r="D21" s="3" t="s">
        <v>40</v>
      </c>
      <c r="E21" s="5" t="s">
        <v>70</v>
      </c>
      <c r="F21" s="3" t="s">
        <v>56</v>
      </c>
      <c r="I21" s="3" t="s">
        <v>57</v>
      </c>
      <c r="K21" s="3" t="s">
        <v>44</v>
      </c>
      <c r="L21" s="3" t="s">
        <v>57</v>
      </c>
      <c r="O21" s="3">
        <v>71.0</v>
      </c>
      <c r="P21" s="3" t="s">
        <v>45</v>
      </c>
      <c r="Q21" s="3" t="s">
        <v>58</v>
      </c>
      <c r="AI21" s="3" t="str">
        <f t="shared" si="1"/>
        <v/>
      </c>
      <c r="AJ21" s="3" t="s">
        <v>47</v>
      </c>
      <c r="AK21" s="3" t="s">
        <v>48</v>
      </c>
    </row>
    <row r="22" ht="15.75" customHeight="1">
      <c r="A22" s="3" t="s">
        <v>39</v>
      </c>
      <c r="B22" s="4" t="str">
        <f>HYPERLINK("https://www.senado.gob.ar/parlamentario/comisiones/verExp/249.26/PE/AC","249")</f>
        <v>249</v>
      </c>
      <c r="C22" s="4" t="str">
        <f>HYPERLINK("https://www.senado.gob.ar/parlamentario/comisiones/verExp/249.26/PE/AC","2026")</f>
        <v>2026</v>
      </c>
      <c r="D22" s="3" t="s">
        <v>40</v>
      </c>
      <c r="E22" s="5" t="s">
        <v>71</v>
      </c>
      <c r="F22" s="3" t="s">
        <v>56</v>
      </c>
      <c r="I22" s="3" t="s">
        <v>57</v>
      </c>
      <c r="K22" s="3" t="s">
        <v>44</v>
      </c>
      <c r="L22" s="3" t="s">
        <v>57</v>
      </c>
      <c r="O22" s="3">
        <v>71.0</v>
      </c>
      <c r="P22" s="3" t="s">
        <v>45</v>
      </c>
      <c r="Q22" s="3" t="s">
        <v>58</v>
      </c>
      <c r="AI22" s="3" t="str">
        <f t="shared" si="1"/>
        <v/>
      </c>
      <c r="AJ22" s="3" t="s">
        <v>47</v>
      </c>
      <c r="AK22" s="3" t="s">
        <v>48</v>
      </c>
    </row>
    <row r="23" ht="15.75" customHeight="1">
      <c r="A23" s="3" t="s">
        <v>39</v>
      </c>
      <c r="B23" s="4" t="str">
        <f>HYPERLINK("https://www.senado.gob.ar/parlamentario/comisiones/verExp/248.26/PE/AC","248")</f>
        <v>248</v>
      </c>
      <c r="C23" s="4" t="str">
        <f>HYPERLINK("https://www.senado.gob.ar/parlamentario/comisiones/verExp/248.26/PE/AC","2026")</f>
        <v>2026</v>
      </c>
      <c r="D23" s="3" t="s">
        <v>40</v>
      </c>
      <c r="E23" s="5" t="s">
        <v>72</v>
      </c>
      <c r="F23" s="3" t="s">
        <v>56</v>
      </c>
      <c r="I23" s="3" t="s">
        <v>57</v>
      </c>
      <c r="K23" s="3" t="s">
        <v>44</v>
      </c>
      <c r="L23" s="3" t="s">
        <v>57</v>
      </c>
      <c r="O23" s="3">
        <v>71.0</v>
      </c>
      <c r="P23" s="3" t="s">
        <v>45</v>
      </c>
      <c r="Q23" s="3" t="s">
        <v>58</v>
      </c>
      <c r="AI23" s="3" t="str">
        <f t="shared" si="1"/>
        <v/>
      </c>
      <c r="AJ23" s="3" t="s">
        <v>47</v>
      </c>
      <c r="AK23" s="3" t="s">
        <v>48</v>
      </c>
    </row>
    <row r="24" ht="15.75" customHeight="1">
      <c r="A24" s="3" t="s">
        <v>39</v>
      </c>
      <c r="B24" s="4" t="str">
        <f>HYPERLINK("https://www.senado.gob.ar/parlamentario/comisiones/verExp/237.26/PE/AC","237")</f>
        <v>237</v>
      </c>
      <c r="C24" s="4" t="str">
        <f>HYPERLINK("https://www.senado.gob.ar/parlamentario/comisiones/verExp/237.26/PE/AC","2026")</f>
        <v>2026</v>
      </c>
      <c r="D24" s="3" t="s">
        <v>40</v>
      </c>
      <c r="E24" s="5" t="s">
        <v>73</v>
      </c>
      <c r="F24" s="3" t="s">
        <v>74</v>
      </c>
      <c r="I24" s="3" t="s">
        <v>75</v>
      </c>
      <c r="K24" s="3" t="s">
        <v>44</v>
      </c>
      <c r="L24" s="3" t="s">
        <v>75</v>
      </c>
      <c r="O24" s="3">
        <v>71.0</v>
      </c>
      <c r="P24" s="3" t="s">
        <v>45</v>
      </c>
      <c r="Q24" s="3" t="s">
        <v>76</v>
      </c>
      <c r="AI24" s="3" t="str">
        <f t="shared" si="1"/>
        <v/>
      </c>
      <c r="AJ24" s="3" t="s">
        <v>47</v>
      </c>
      <c r="AK24" s="3" t="s">
        <v>48</v>
      </c>
    </row>
    <row r="25" ht="15.75" customHeight="1">
      <c r="A25" s="3" t="s">
        <v>39</v>
      </c>
      <c r="B25" s="4" t="str">
        <f>HYPERLINK("https://www.senado.gob.ar/parlamentario/comisiones/verExp/236.26/PE/AC","236")</f>
        <v>236</v>
      </c>
      <c r="C25" s="4" t="str">
        <f>HYPERLINK("https://www.senado.gob.ar/parlamentario/comisiones/verExp/236.26/PE/AC","2026")</f>
        <v>2026</v>
      </c>
      <c r="D25" s="3" t="s">
        <v>40</v>
      </c>
      <c r="E25" s="5" t="s">
        <v>77</v>
      </c>
      <c r="F25" s="3" t="s">
        <v>74</v>
      </c>
      <c r="I25" s="3" t="s">
        <v>75</v>
      </c>
      <c r="K25" s="3" t="s">
        <v>44</v>
      </c>
      <c r="L25" s="3" t="s">
        <v>75</v>
      </c>
      <c r="O25" s="3">
        <v>71.0</v>
      </c>
      <c r="P25" s="3" t="s">
        <v>45</v>
      </c>
      <c r="Q25" s="3" t="s">
        <v>76</v>
      </c>
      <c r="AI25" s="3" t="str">
        <f t="shared" si="1"/>
        <v/>
      </c>
      <c r="AJ25" s="3" t="s">
        <v>47</v>
      </c>
      <c r="AK25" s="3" t="s">
        <v>48</v>
      </c>
    </row>
    <row r="26" ht="15.75" customHeight="1">
      <c r="A26" s="3" t="s">
        <v>39</v>
      </c>
      <c r="B26" s="4" t="str">
        <f>HYPERLINK("https://www.senado.gob.ar/parlamentario/comisiones/verExp/233.26/PE/AC","233")</f>
        <v>233</v>
      </c>
      <c r="C26" s="4" t="str">
        <f>HYPERLINK("https://www.senado.gob.ar/parlamentario/comisiones/verExp/233.26/PE/AC","2026")</f>
        <v>2026</v>
      </c>
      <c r="D26" s="3" t="s">
        <v>40</v>
      </c>
      <c r="E26" s="5" t="s">
        <v>78</v>
      </c>
      <c r="F26" s="3" t="s">
        <v>79</v>
      </c>
      <c r="I26" s="3" t="s">
        <v>80</v>
      </c>
      <c r="K26" s="3" t="s">
        <v>44</v>
      </c>
      <c r="L26" s="3" t="s">
        <v>80</v>
      </c>
      <c r="O26" s="3">
        <v>71.0</v>
      </c>
      <c r="P26" s="3" t="s">
        <v>45</v>
      </c>
      <c r="Q26" s="3" t="s">
        <v>81</v>
      </c>
      <c r="AI26" s="3" t="str">
        <f t="shared" si="1"/>
        <v/>
      </c>
      <c r="AJ26" s="3" t="s">
        <v>47</v>
      </c>
      <c r="AK26" s="3" t="s">
        <v>48</v>
      </c>
    </row>
    <row r="27" ht="15.75" customHeight="1">
      <c r="A27" s="3" t="s">
        <v>39</v>
      </c>
      <c r="B27" s="4" t="str">
        <f>HYPERLINK("https://www.senado.gob.ar/parlamentario/comisiones/verExp/232.26/PE/AC","232")</f>
        <v>232</v>
      </c>
      <c r="C27" s="4" t="str">
        <f>HYPERLINK("https://www.senado.gob.ar/parlamentario/comisiones/verExp/232.26/PE/AC","2026")</f>
        <v>2026</v>
      </c>
      <c r="D27" s="3" t="s">
        <v>40</v>
      </c>
      <c r="E27" s="5" t="s">
        <v>82</v>
      </c>
      <c r="F27" s="3" t="s">
        <v>79</v>
      </c>
      <c r="I27" s="3" t="s">
        <v>80</v>
      </c>
      <c r="K27" s="3" t="s">
        <v>44</v>
      </c>
      <c r="L27" s="3" t="s">
        <v>80</v>
      </c>
      <c r="O27" s="3">
        <v>71.0</v>
      </c>
      <c r="P27" s="3" t="s">
        <v>45</v>
      </c>
      <c r="Q27" s="3" t="s">
        <v>81</v>
      </c>
      <c r="AI27" s="3" t="str">
        <f t="shared" si="1"/>
        <v/>
      </c>
      <c r="AJ27" s="3" t="s">
        <v>47</v>
      </c>
      <c r="AK27" s="3" t="s">
        <v>48</v>
      </c>
    </row>
    <row r="28" ht="15.75" customHeight="1">
      <c r="A28" s="3" t="s">
        <v>39</v>
      </c>
      <c r="B28" s="4" t="str">
        <f>HYPERLINK("https://www.senado.gob.ar/parlamentario/comisiones/verExp/231.26/PE/AC","231")</f>
        <v>231</v>
      </c>
      <c r="C28" s="4" t="str">
        <f>HYPERLINK("https://www.senado.gob.ar/parlamentario/comisiones/verExp/231.26/PE/AC","2026")</f>
        <v>2026</v>
      </c>
      <c r="D28" s="3" t="s">
        <v>40</v>
      </c>
      <c r="E28" s="5" t="s">
        <v>83</v>
      </c>
      <c r="F28" s="3" t="s">
        <v>79</v>
      </c>
      <c r="I28" s="3" t="s">
        <v>80</v>
      </c>
      <c r="K28" s="3" t="s">
        <v>44</v>
      </c>
      <c r="L28" s="3" t="s">
        <v>80</v>
      </c>
      <c r="O28" s="3">
        <v>71.0</v>
      </c>
      <c r="P28" s="3" t="s">
        <v>45</v>
      </c>
      <c r="Q28" s="3" t="s">
        <v>81</v>
      </c>
      <c r="AI28" s="3" t="str">
        <f t="shared" si="1"/>
        <v/>
      </c>
      <c r="AJ28" s="3" t="s">
        <v>47</v>
      </c>
      <c r="AK28" s="3" t="s">
        <v>48</v>
      </c>
    </row>
    <row r="29" ht="15.75" customHeight="1">
      <c r="A29" s="3" t="s">
        <v>39</v>
      </c>
      <c r="B29" s="4" t="str">
        <f>HYPERLINK("https://www.senado.gob.ar/parlamentario/comisiones/verExp/230.26/PE/AC","230")</f>
        <v>230</v>
      </c>
      <c r="C29" s="4" t="str">
        <f>HYPERLINK("https://www.senado.gob.ar/parlamentario/comisiones/verExp/230.26/PE/AC","2026")</f>
        <v>2026</v>
      </c>
      <c r="D29" s="3" t="s">
        <v>40</v>
      </c>
      <c r="E29" s="5" t="s">
        <v>84</v>
      </c>
      <c r="F29" s="3" t="s">
        <v>79</v>
      </c>
      <c r="I29" s="3" t="s">
        <v>80</v>
      </c>
      <c r="K29" s="3" t="s">
        <v>44</v>
      </c>
      <c r="L29" s="3" t="s">
        <v>80</v>
      </c>
      <c r="O29" s="3">
        <v>71.0</v>
      </c>
      <c r="P29" s="3" t="s">
        <v>45</v>
      </c>
      <c r="Q29" s="3" t="s">
        <v>81</v>
      </c>
      <c r="AI29" s="3" t="str">
        <f t="shared" si="1"/>
        <v/>
      </c>
      <c r="AJ29" s="3" t="s">
        <v>47</v>
      </c>
      <c r="AK29" s="3" t="s">
        <v>48</v>
      </c>
    </row>
    <row r="30" ht="15.75" customHeight="1">
      <c r="A30" s="3" t="s">
        <v>39</v>
      </c>
      <c r="B30" s="4" t="str">
        <f>HYPERLINK("https://www.senado.gob.ar/parlamentario/comisiones/verExp/229.26/PE/AC","229")</f>
        <v>229</v>
      </c>
      <c r="C30" s="4" t="str">
        <f>HYPERLINK("https://www.senado.gob.ar/parlamentario/comisiones/verExp/229.26/PE/AC","2026")</f>
        <v>2026</v>
      </c>
      <c r="D30" s="3" t="s">
        <v>40</v>
      </c>
      <c r="E30" s="5" t="s">
        <v>85</v>
      </c>
      <c r="F30" s="3" t="s">
        <v>79</v>
      </c>
      <c r="I30" s="3" t="s">
        <v>80</v>
      </c>
      <c r="K30" s="3" t="s">
        <v>44</v>
      </c>
      <c r="L30" s="3" t="s">
        <v>80</v>
      </c>
      <c r="O30" s="3">
        <v>71.0</v>
      </c>
      <c r="P30" s="3" t="s">
        <v>45</v>
      </c>
      <c r="Q30" s="3" t="s">
        <v>81</v>
      </c>
      <c r="AI30" s="3" t="str">
        <f t="shared" si="1"/>
        <v/>
      </c>
      <c r="AJ30" s="3" t="s">
        <v>47</v>
      </c>
      <c r="AK30" s="3" t="s">
        <v>48</v>
      </c>
    </row>
    <row r="31" ht="15.75" customHeight="1">
      <c r="A31" s="3" t="s">
        <v>39</v>
      </c>
      <c r="B31" s="4" t="str">
        <f>HYPERLINK("https://www.senado.gob.ar/parlamentario/comisiones/verExp/228.26/PE/AC","228")</f>
        <v>228</v>
      </c>
      <c r="C31" s="4" t="str">
        <f>HYPERLINK("https://www.senado.gob.ar/parlamentario/comisiones/verExp/228.26/PE/AC","2026")</f>
        <v>2026</v>
      </c>
      <c r="D31" s="3" t="s">
        <v>40</v>
      </c>
      <c r="E31" s="5" t="s">
        <v>86</v>
      </c>
      <c r="F31" s="3" t="s">
        <v>79</v>
      </c>
      <c r="I31" s="3" t="s">
        <v>80</v>
      </c>
      <c r="K31" s="3" t="s">
        <v>44</v>
      </c>
      <c r="L31" s="3" t="s">
        <v>80</v>
      </c>
      <c r="O31" s="3">
        <v>71.0</v>
      </c>
      <c r="P31" s="3" t="s">
        <v>45</v>
      </c>
      <c r="Q31" s="3" t="s">
        <v>81</v>
      </c>
      <c r="AI31" s="3" t="str">
        <f t="shared" si="1"/>
        <v/>
      </c>
      <c r="AJ31" s="3" t="s">
        <v>47</v>
      </c>
      <c r="AK31" s="3" t="s">
        <v>48</v>
      </c>
    </row>
    <row r="32" ht="15.75" customHeight="1">
      <c r="A32" s="3" t="s">
        <v>39</v>
      </c>
      <c r="B32" s="4" t="str">
        <f>HYPERLINK("https://www.senado.gob.ar/parlamentario/comisiones/verExp/222.26/PE/AC","222")</f>
        <v>222</v>
      </c>
      <c r="C32" s="4" t="str">
        <f>HYPERLINK("https://www.senado.gob.ar/parlamentario/comisiones/verExp/222.26/PE/AC","2026")</f>
        <v>2026</v>
      </c>
      <c r="D32" s="3" t="s">
        <v>40</v>
      </c>
      <c r="E32" s="5" t="s">
        <v>87</v>
      </c>
      <c r="F32" s="3" t="s">
        <v>88</v>
      </c>
      <c r="I32" s="3" t="s">
        <v>89</v>
      </c>
      <c r="K32" s="3" t="s">
        <v>44</v>
      </c>
      <c r="L32" s="3" t="s">
        <v>89</v>
      </c>
      <c r="O32" s="3">
        <v>71.0</v>
      </c>
      <c r="P32" s="3" t="s">
        <v>45</v>
      </c>
      <c r="Q32" s="3" t="s">
        <v>90</v>
      </c>
      <c r="AI32" s="3" t="str">
        <f t="shared" si="1"/>
        <v/>
      </c>
      <c r="AJ32" s="3" t="s">
        <v>47</v>
      </c>
      <c r="AK32" s="3" t="s">
        <v>48</v>
      </c>
    </row>
    <row r="33" ht="15.75" customHeight="1">
      <c r="A33" s="3" t="s">
        <v>39</v>
      </c>
      <c r="B33" s="4" t="str">
        <f>HYPERLINK("https://www.senado.gob.ar/parlamentario/comisiones/verExp/221.26/PE/AC","221")</f>
        <v>221</v>
      </c>
      <c r="C33" s="4" t="str">
        <f>HYPERLINK("https://www.senado.gob.ar/parlamentario/comisiones/verExp/221.26/PE/AC","2026")</f>
        <v>2026</v>
      </c>
      <c r="D33" s="3" t="s">
        <v>40</v>
      </c>
      <c r="E33" s="5" t="s">
        <v>91</v>
      </c>
      <c r="F33" s="3" t="s">
        <v>88</v>
      </c>
      <c r="I33" s="3" t="s">
        <v>89</v>
      </c>
      <c r="K33" s="3" t="s">
        <v>44</v>
      </c>
      <c r="L33" s="3" t="s">
        <v>89</v>
      </c>
      <c r="O33" s="3">
        <v>71.0</v>
      </c>
      <c r="P33" s="3" t="s">
        <v>45</v>
      </c>
      <c r="Q33" s="3" t="s">
        <v>90</v>
      </c>
      <c r="AI33" s="3" t="str">
        <f t="shared" si="1"/>
        <v/>
      </c>
      <c r="AJ33" s="3" t="s">
        <v>47</v>
      </c>
      <c r="AK33" s="3" t="s">
        <v>48</v>
      </c>
    </row>
    <row r="34" ht="15.75" customHeight="1">
      <c r="A34" s="3" t="s">
        <v>39</v>
      </c>
      <c r="B34" s="4" t="str">
        <f>HYPERLINK("https://www.senado.gob.ar/parlamentario/comisiones/verExp/220.26/PE/AC","220")</f>
        <v>220</v>
      </c>
      <c r="C34" s="4" t="str">
        <f>HYPERLINK("https://www.senado.gob.ar/parlamentario/comisiones/verExp/220.26/PE/AC","2026")</f>
        <v>2026</v>
      </c>
      <c r="D34" s="3" t="s">
        <v>40</v>
      </c>
      <c r="E34" s="5" t="s">
        <v>92</v>
      </c>
      <c r="F34" s="3" t="s">
        <v>88</v>
      </c>
      <c r="I34" s="3" t="s">
        <v>89</v>
      </c>
      <c r="K34" s="3" t="s">
        <v>44</v>
      </c>
      <c r="L34" s="3" t="s">
        <v>89</v>
      </c>
      <c r="O34" s="3">
        <v>71.0</v>
      </c>
      <c r="P34" s="3" t="s">
        <v>45</v>
      </c>
      <c r="Q34" s="3" t="s">
        <v>90</v>
      </c>
      <c r="AI34" s="3" t="str">
        <f t="shared" si="1"/>
        <v/>
      </c>
      <c r="AJ34" s="3" t="s">
        <v>47</v>
      </c>
      <c r="AK34" s="3" t="s">
        <v>48</v>
      </c>
    </row>
    <row r="35" ht="15.75" customHeight="1">
      <c r="A35" s="3" t="s">
        <v>39</v>
      </c>
      <c r="B35" s="4" t="str">
        <f>HYPERLINK("https://www.senado.gob.ar/parlamentario/comisiones/verExp/219.26/PE/AC","219")</f>
        <v>219</v>
      </c>
      <c r="C35" s="4" t="str">
        <f>HYPERLINK("https://www.senado.gob.ar/parlamentario/comisiones/verExp/219.26/PE/AC","2026")</f>
        <v>2026</v>
      </c>
      <c r="D35" s="3" t="s">
        <v>40</v>
      </c>
      <c r="E35" s="5" t="s">
        <v>93</v>
      </c>
      <c r="F35" s="3" t="s">
        <v>88</v>
      </c>
      <c r="I35" s="3" t="s">
        <v>89</v>
      </c>
      <c r="K35" s="3" t="s">
        <v>44</v>
      </c>
      <c r="L35" s="3" t="s">
        <v>89</v>
      </c>
      <c r="O35" s="3">
        <v>71.0</v>
      </c>
      <c r="P35" s="3" t="s">
        <v>45</v>
      </c>
      <c r="Q35" s="3" t="s">
        <v>90</v>
      </c>
      <c r="AI35" s="3" t="str">
        <f t="shared" si="1"/>
        <v/>
      </c>
      <c r="AJ35" s="3" t="s">
        <v>47</v>
      </c>
      <c r="AK35" s="3" t="s">
        <v>48</v>
      </c>
    </row>
    <row r="36" ht="15.75" customHeight="1">
      <c r="A36" s="3" t="s">
        <v>39</v>
      </c>
      <c r="B36" s="4" t="str">
        <f>HYPERLINK("https://www.senado.gob.ar/parlamentario/comisiones/verExp/218.26/PE/AC","218")</f>
        <v>218</v>
      </c>
      <c r="C36" s="4" t="str">
        <f>HYPERLINK("https://www.senado.gob.ar/parlamentario/comisiones/verExp/218.26/PE/AC","2026")</f>
        <v>2026</v>
      </c>
      <c r="D36" s="3" t="s">
        <v>40</v>
      </c>
      <c r="E36" s="5" t="s">
        <v>94</v>
      </c>
      <c r="F36" s="3" t="s">
        <v>88</v>
      </c>
      <c r="I36" s="3" t="s">
        <v>89</v>
      </c>
      <c r="K36" s="3" t="s">
        <v>44</v>
      </c>
      <c r="L36" s="3" t="s">
        <v>89</v>
      </c>
      <c r="O36" s="3">
        <v>71.0</v>
      </c>
      <c r="P36" s="3" t="s">
        <v>45</v>
      </c>
      <c r="Q36" s="3" t="s">
        <v>90</v>
      </c>
      <c r="AI36" s="3" t="str">
        <f t="shared" si="1"/>
        <v/>
      </c>
      <c r="AJ36" s="3" t="s">
        <v>47</v>
      </c>
      <c r="AK36" s="3" t="s">
        <v>48</v>
      </c>
    </row>
    <row r="37" ht="15.75" customHeight="1">
      <c r="A37" s="3" t="s">
        <v>39</v>
      </c>
      <c r="B37" s="4" t="str">
        <f>HYPERLINK("https://www.senado.gob.ar/parlamentario/comisiones/verExp/217.26/PE/AC","217")</f>
        <v>217</v>
      </c>
      <c r="C37" s="4" t="str">
        <f>HYPERLINK("https://www.senado.gob.ar/parlamentario/comisiones/verExp/217.26/PE/AC","2026")</f>
        <v>2026</v>
      </c>
      <c r="D37" s="3" t="s">
        <v>40</v>
      </c>
      <c r="E37" s="5" t="s">
        <v>95</v>
      </c>
      <c r="F37" s="3" t="s">
        <v>88</v>
      </c>
      <c r="I37" s="3" t="s">
        <v>89</v>
      </c>
      <c r="K37" s="3" t="s">
        <v>44</v>
      </c>
      <c r="L37" s="3" t="s">
        <v>89</v>
      </c>
      <c r="O37" s="3">
        <v>71.0</v>
      </c>
      <c r="P37" s="3" t="s">
        <v>45</v>
      </c>
      <c r="Q37" s="3" t="s">
        <v>90</v>
      </c>
      <c r="AI37" s="3" t="str">
        <f t="shared" si="1"/>
        <v/>
      </c>
      <c r="AJ37" s="3" t="s">
        <v>47</v>
      </c>
      <c r="AK37" s="3" t="s">
        <v>48</v>
      </c>
    </row>
    <row r="38" ht="15.75" customHeight="1">
      <c r="A38" s="3" t="s">
        <v>39</v>
      </c>
      <c r="B38" s="4" t="str">
        <f>HYPERLINK("https://www.senado.gob.ar/parlamentario/comisiones/verExp/216.26/PE/AC","216")</f>
        <v>216</v>
      </c>
      <c r="C38" s="4" t="str">
        <f>HYPERLINK("https://www.senado.gob.ar/parlamentario/comisiones/verExp/216.26/PE/AC","2026")</f>
        <v>2026</v>
      </c>
      <c r="D38" s="3" t="s">
        <v>40</v>
      </c>
      <c r="E38" s="5" t="s">
        <v>96</v>
      </c>
      <c r="F38" s="3" t="s">
        <v>88</v>
      </c>
      <c r="I38" s="3" t="s">
        <v>89</v>
      </c>
      <c r="K38" s="3" t="s">
        <v>44</v>
      </c>
      <c r="L38" s="3" t="s">
        <v>89</v>
      </c>
      <c r="O38" s="3">
        <v>71.0</v>
      </c>
      <c r="P38" s="3" t="s">
        <v>45</v>
      </c>
      <c r="Q38" s="3" t="s">
        <v>90</v>
      </c>
      <c r="AI38" s="3" t="str">
        <f t="shared" si="1"/>
        <v/>
      </c>
      <c r="AJ38" s="3" t="s">
        <v>47</v>
      </c>
      <c r="AK38" s="3" t="s">
        <v>48</v>
      </c>
    </row>
    <row r="39" ht="15.75" customHeight="1">
      <c r="A39" s="3" t="s">
        <v>39</v>
      </c>
      <c r="B39" s="4" t="str">
        <f>HYPERLINK("https://www.senado.gob.ar/parlamentario/comisiones/verExp/215.26/PE/AC","215")</f>
        <v>215</v>
      </c>
      <c r="C39" s="4" t="str">
        <f>HYPERLINK("https://www.senado.gob.ar/parlamentario/comisiones/verExp/215.26/PE/AC","2026")</f>
        <v>2026</v>
      </c>
      <c r="D39" s="3" t="s">
        <v>40</v>
      </c>
      <c r="E39" s="5" t="s">
        <v>97</v>
      </c>
      <c r="F39" s="3" t="s">
        <v>88</v>
      </c>
      <c r="I39" s="3" t="s">
        <v>89</v>
      </c>
      <c r="K39" s="3" t="s">
        <v>44</v>
      </c>
      <c r="L39" s="3" t="s">
        <v>89</v>
      </c>
      <c r="O39" s="3">
        <v>71.0</v>
      </c>
      <c r="P39" s="3" t="s">
        <v>45</v>
      </c>
      <c r="Q39" s="3" t="s">
        <v>90</v>
      </c>
      <c r="AI39" s="3" t="str">
        <f t="shared" si="1"/>
        <v/>
      </c>
      <c r="AJ39" s="3" t="s">
        <v>47</v>
      </c>
      <c r="AK39" s="3" t="s">
        <v>48</v>
      </c>
    </row>
    <row r="40" ht="15.75" customHeight="1">
      <c r="A40" s="3" t="s">
        <v>39</v>
      </c>
      <c r="B40" s="4" t="str">
        <f>HYPERLINK("https://www.senado.gob.ar/parlamentario/comisiones/verExp/214.26/PE/AC","214")</f>
        <v>214</v>
      </c>
      <c r="C40" s="4" t="str">
        <f>HYPERLINK("https://www.senado.gob.ar/parlamentario/comisiones/verExp/214.26/PE/AC","2026")</f>
        <v>2026</v>
      </c>
      <c r="D40" s="3" t="s">
        <v>40</v>
      </c>
      <c r="E40" s="5" t="s">
        <v>98</v>
      </c>
      <c r="F40" s="3" t="s">
        <v>88</v>
      </c>
      <c r="I40" s="3" t="s">
        <v>89</v>
      </c>
      <c r="K40" s="3" t="s">
        <v>44</v>
      </c>
      <c r="L40" s="3" t="s">
        <v>89</v>
      </c>
      <c r="O40" s="3">
        <v>71.0</v>
      </c>
      <c r="P40" s="3" t="s">
        <v>45</v>
      </c>
      <c r="Q40" s="3" t="s">
        <v>90</v>
      </c>
      <c r="AI40" s="3" t="str">
        <f t="shared" si="1"/>
        <v/>
      </c>
      <c r="AJ40" s="3" t="s">
        <v>47</v>
      </c>
      <c r="AK40" s="3" t="s">
        <v>48</v>
      </c>
    </row>
    <row r="41" ht="15.75" customHeight="1">
      <c r="A41" s="3" t="s">
        <v>39</v>
      </c>
      <c r="B41" s="4" t="str">
        <f>HYPERLINK("https://www.senado.gob.ar/parlamentario/comisiones/verExp/213.26/PE/AC","213")</f>
        <v>213</v>
      </c>
      <c r="C41" s="4" t="str">
        <f>HYPERLINK("https://www.senado.gob.ar/parlamentario/comisiones/verExp/213.26/PE/AC","2026")</f>
        <v>2026</v>
      </c>
      <c r="D41" s="3" t="s">
        <v>40</v>
      </c>
      <c r="E41" s="5" t="s">
        <v>99</v>
      </c>
      <c r="F41" s="3" t="s">
        <v>88</v>
      </c>
      <c r="I41" s="3" t="s">
        <v>89</v>
      </c>
      <c r="K41" s="3" t="s">
        <v>44</v>
      </c>
      <c r="L41" s="3" t="s">
        <v>89</v>
      </c>
      <c r="O41" s="3">
        <v>71.0</v>
      </c>
      <c r="P41" s="3" t="s">
        <v>45</v>
      </c>
      <c r="Q41" s="3" t="s">
        <v>90</v>
      </c>
      <c r="AI41" s="3" t="str">
        <f t="shared" si="1"/>
        <v/>
      </c>
      <c r="AJ41" s="3" t="s">
        <v>47</v>
      </c>
      <c r="AK41" s="3" t="s">
        <v>48</v>
      </c>
    </row>
    <row r="42" ht="15.75" customHeight="1">
      <c r="A42" s="3" t="s">
        <v>39</v>
      </c>
      <c r="B42" s="4" t="str">
        <f>HYPERLINK("https://www.senado.gob.ar/parlamentario/comisiones/verExp/212.26/PE/AC","212")</f>
        <v>212</v>
      </c>
      <c r="C42" s="4" t="str">
        <f>HYPERLINK("https://www.senado.gob.ar/parlamentario/comisiones/verExp/212.26/PE/AC","2026")</f>
        <v>2026</v>
      </c>
      <c r="D42" s="3" t="s">
        <v>40</v>
      </c>
      <c r="E42" s="5" t="s">
        <v>100</v>
      </c>
      <c r="F42" s="3" t="s">
        <v>88</v>
      </c>
      <c r="I42" s="3" t="s">
        <v>89</v>
      </c>
      <c r="K42" s="3" t="s">
        <v>44</v>
      </c>
      <c r="L42" s="3" t="s">
        <v>89</v>
      </c>
      <c r="O42" s="3">
        <v>71.0</v>
      </c>
      <c r="P42" s="3" t="s">
        <v>45</v>
      </c>
      <c r="Q42" s="3" t="s">
        <v>90</v>
      </c>
      <c r="AI42" s="3" t="str">
        <f t="shared" si="1"/>
        <v/>
      </c>
      <c r="AJ42" s="3" t="s">
        <v>47</v>
      </c>
      <c r="AK42" s="3" t="s">
        <v>48</v>
      </c>
    </row>
    <row r="43" ht="15.75" customHeight="1">
      <c r="A43" s="3" t="s">
        <v>39</v>
      </c>
      <c r="B43" s="4" t="str">
        <f>HYPERLINK("https://www.senado.gob.ar/parlamentario/comisiones/verExp/211.26/PE/AC","211")</f>
        <v>211</v>
      </c>
      <c r="C43" s="4" t="str">
        <f>HYPERLINK("https://www.senado.gob.ar/parlamentario/comisiones/verExp/211.26/PE/AC","2026")</f>
        <v>2026</v>
      </c>
      <c r="D43" s="3" t="s">
        <v>40</v>
      </c>
      <c r="E43" s="5" t="s">
        <v>101</v>
      </c>
      <c r="F43" s="3" t="s">
        <v>88</v>
      </c>
      <c r="I43" s="3" t="s">
        <v>89</v>
      </c>
      <c r="K43" s="3" t="s">
        <v>44</v>
      </c>
      <c r="L43" s="3" t="s">
        <v>89</v>
      </c>
      <c r="O43" s="3">
        <v>71.0</v>
      </c>
      <c r="P43" s="3" t="s">
        <v>45</v>
      </c>
      <c r="Q43" s="3" t="s">
        <v>90</v>
      </c>
      <c r="AI43" s="3" t="str">
        <f t="shared" si="1"/>
        <v/>
      </c>
      <c r="AJ43" s="3" t="s">
        <v>47</v>
      </c>
      <c r="AK43" s="3" t="s">
        <v>48</v>
      </c>
    </row>
    <row r="44" ht="15.75" customHeight="1">
      <c r="A44" s="3" t="s">
        <v>39</v>
      </c>
      <c r="B44" s="4" t="str">
        <f>HYPERLINK("https://www.senado.gob.ar/parlamentario/comisiones/verExp/210.26/PE/AC","210")</f>
        <v>210</v>
      </c>
      <c r="C44" s="4" t="str">
        <f>HYPERLINK("https://www.senado.gob.ar/parlamentario/comisiones/verExp/210.26/PE/AC","2026")</f>
        <v>2026</v>
      </c>
      <c r="D44" s="3" t="s">
        <v>40</v>
      </c>
      <c r="E44" s="5" t="s">
        <v>102</v>
      </c>
      <c r="F44" s="3" t="s">
        <v>88</v>
      </c>
      <c r="I44" s="3" t="s">
        <v>89</v>
      </c>
      <c r="K44" s="3" t="s">
        <v>44</v>
      </c>
      <c r="L44" s="3" t="s">
        <v>89</v>
      </c>
      <c r="O44" s="3">
        <v>71.0</v>
      </c>
      <c r="P44" s="3" t="s">
        <v>45</v>
      </c>
      <c r="Q44" s="3" t="s">
        <v>90</v>
      </c>
      <c r="AI44" s="3" t="str">
        <f t="shared" si="1"/>
        <v/>
      </c>
      <c r="AJ44" s="3" t="s">
        <v>47</v>
      </c>
      <c r="AK44" s="3" t="s">
        <v>48</v>
      </c>
    </row>
    <row r="45" ht="15.75" customHeight="1">
      <c r="A45" s="3" t="s">
        <v>39</v>
      </c>
      <c r="B45" s="4" t="str">
        <f>HYPERLINK("https://www.senado.gob.ar/parlamentario/comisiones/verExp/209.26/PE/AC","209")</f>
        <v>209</v>
      </c>
      <c r="C45" s="4" t="str">
        <f>HYPERLINK("https://www.senado.gob.ar/parlamentario/comisiones/verExp/209.26/PE/AC","2026")</f>
        <v>2026</v>
      </c>
      <c r="D45" s="3" t="s">
        <v>40</v>
      </c>
      <c r="E45" s="5" t="s">
        <v>103</v>
      </c>
      <c r="F45" s="3" t="s">
        <v>88</v>
      </c>
      <c r="I45" s="3" t="s">
        <v>89</v>
      </c>
      <c r="K45" s="3" t="s">
        <v>44</v>
      </c>
      <c r="L45" s="3" t="s">
        <v>89</v>
      </c>
      <c r="O45" s="3">
        <v>71.0</v>
      </c>
      <c r="P45" s="3" t="s">
        <v>45</v>
      </c>
      <c r="Q45" s="3" t="s">
        <v>90</v>
      </c>
      <c r="AI45" s="3" t="str">
        <f t="shared" si="1"/>
        <v/>
      </c>
      <c r="AJ45" s="3" t="s">
        <v>47</v>
      </c>
      <c r="AK45" s="3" t="s">
        <v>48</v>
      </c>
    </row>
    <row r="46" ht="15.75" customHeight="1">
      <c r="A46" s="3" t="s">
        <v>39</v>
      </c>
      <c r="B46" s="4" t="str">
        <f>HYPERLINK("https://www.senado.gob.ar/parlamentario/comisiones/verExp/208.26/PE/AC","208")</f>
        <v>208</v>
      </c>
      <c r="C46" s="4" t="str">
        <f>HYPERLINK("https://www.senado.gob.ar/parlamentario/comisiones/verExp/208.26/PE/AC","2026")</f>
        <v>2026</v>
      </c>
      <c r="D46" s="3" t="s">
        <v>40</v>
      </c>
      <c r="E46" s="5" t="s">
        <v>104</v>
      </c>
      <c r="F46" s="3" t="s">
        <v>88</v>
      </c>
      <c r="I46" s="3" t="s">
        <v>89</v>
      </c>
      <c r="K46" s="3" t="s">
        <v>44</v>
      </c>
      <c r="L46" s="3" t="s">
        <v>89</v>
      </c>
      <c r="O46" s="3">
        <v>71.0</v>
      </c>
      <c r="P46" s="3" t="s">
        <v>45</v>
      </c>
      <c r="Q46" s="3" t="s">
        <v>90</v>
      </c>
      <c r="AI46" s="3" t="str">
        <f t="shared" si="1"/>
        <v/>
      </c>
      <c r="AJ46" s="3" t="s">
        <v>47</v>
      </c>
      <c r="AK46" s="3" t="s">
        <v>48</v>
      </c>
    </row>
    <row r="47" ht="15.75" customHeight="1">
      <c r="A47" s="3" t="s">
        <v>39</v>
      </c>
      <c r="B47" s="4" t="str">
        <f>HYPERLINK("https://www.senado.gob.ar/parlamentario/comisiones/verExp/207.26/PE/AC","207")</f>
        <v>207</v>
      </c>
      <c r="C47" s="4" t="str">
        <f>HYPERLINK("https://www.senado.gob.ar/parlamentario/comisiones/verExp/207.26/PE/AC","2026")</f>
        <v>2026</v>
      </c>
      <c r="D47" s="3" t="s">
        <v>40</v>
      </c>
      <c r="E47" s="5" t="s">
        <v>105</v>
      </c>
      <c r="F47" s="3" t="s">
        <v>88</v>
      </c>
      <c r="I47" s="3" t="s">
        <v>89</v>
      </c>
      <c r="K47" s="3" t="s">
        <v>44</v>
      </c>
      <c r="L47" s="3" t="s">
        <v>89</v>
      </c>
      <c r="O47" s="3">
        <v>71.0</v>
      </c>
      <c r="P47" s="3" t="s">
        <v>45</v>
      </c>
      <c r="Q47" s="3" t="s">
        <v>90</v>
      </c>
      <c r="AI47" s="3" t="str">
        <f t="shared" si="1"/>
        <v/>
      </c>
      <c r="AJ47" s="3" t="s">
        <v>47</v>
      </c>
      <c r="AK47" s="3" t="s">
        <v>48</v>
      </c>
    </row>
    <row r="48" ht="15.75" customHeight="1">
      <c r="A48" s="3" t="s">
        <v>39</v>
      </c>
      <c r="B48" s="4" t="str">
        <f>HYPERLINK("https://www.senado.gob.ar/parlamentario/comisiones/verExp/206.26/PE/AC","206")</f>
        <v>206</v>
      </c>
      <c r="C48" s="4" t="str">
        <f>HYPERLINK("https://www.senado.gob.ar/parlamentario/comisiones/verExp/206.26/PE/AC","2026")</f>
        <v>2026</v>
      </c>
      <c r="D48" s="3" t="s">
        <v>40</v>
      </c>
      <c r="E48" s="5" t="s">
        <v>106</v>
      </c>
      <c r="F48" s="3" t="s">
        <v>88</v>
      </c>
      <c r="I48" s="3" t="s">
        <v>89</v>
      </c>
      <c r="K48" s="3" t="s">
        <v>44</v>
      </c>
      <c r="L48" s="3" t="s">
        <v>89</v>
      </c>
      <c r="O48" s="3">
        <v>71.0</v>
      </c>
      <c r="P48" s="3" t="s">
        <v>45</v>
      </c>
      <c r="Q48" s="3" t="s">
        <v>90</v>
      </c>
      <c r="AI48" s="3" t="str">
        <f t="shared" si="1"/>
        <v/>
      </c>
      <c r="AJ48" s="3" t="s">
        <v>47</v>
      </c>
      <c r="AK48" s="3" t="s">
        <v>48</v>
      </c>
    </row>
    <row r="49" ht="15.75" customHeight="1">
      <c r="A49" s="3" t="s">
        <v>39</v>
      </c>
      <c r="B49" s="4" t="str">
        <f>HYPERLINK("https://www.senado.gob.ar/parlamentario/comisiones/verExp/205.26/PE/AC","205")</f>
        <v>205</v>
      </c>
      <c r="C49" s="4" t="str">
        <f>HYPERLINK("https://www.senado.gob.ar/parlamentario/comisiones/verExp/205.26/PE/AC","2026")</f>
        <v>2026</v>
      </c>
      <c r="D49" s="3" t="s">
        <v>40</v>
      </c>
      <c r="E49" s="5" t="s">
        <v>107</v>
      </c>
      <c r="F49" s="3" t="s">
        <v>88</v>
      </c>
      <c r="I49" s="3" t="s">
        <v>89</v>
      </c>
      <c r="K49" s="3" t="s">
        <v>44</v>
      </c>
      <c r="L49" s="3" t="s">
        <v>89</v>
      </c>
      <c r="O49" s="3">
        <v>71.0</v>
      </c>
      <c r="P49" s="3" t="s">
        <v>45</v>
      </c>
      <c r="Q49" s="3" t="s">
        <v>90</v>
      </c>
      <c r="AI49" s="3" t="str">
        <f t="shared" si="1"/>
        <v/>
      </c>
      <c r="AJ49" s="3" t="s">
        <v>47</v>
      </c>
      <c r="AK49" s="3" t="s">
        <v>48</v>
      </c>
    </row>
    <row r="50" ht="15.75" customHeight="1">
      <c r="A50" s="3" t="s">
        <v>39</v>
      </c>
      <c r="B50" s="4" t="str">
        <f>HYPERLINK("https://www.senado.gob.ar/parlamentario/comisiones/verExp/204.26/PE/AC","204")</f>
        <v>204</v>
      </c>
      <c r="C50" s="4" t="str">
        <f>HYPERLINK("https://www.senado.gob.ar/parlamentario/comisiones/verExp/204.26/PE/AC","2026")</f>
        <v>2026</v>
      </c>
      <c r="D50" s="3" t="s">
        <v>40</v>
      </c>
      <c r="E50" s="5" t="s">
        <v>108</v>
      </c>
      <c r="F50" s="3" t="s">
        <v>88</v>
      </c>
      <c r="I50" s="3" t="s">
        <v>89</v>
      </c>
      <c r="K50" s="3" t="s">
        <v>44</v>
      </c>
      <c r="L50" s="3" t="s">
        <v>89</v>
      </c>
      <c r="O50" s="3">
        <v>71.0</v>
      </c>
      <c r="P50" s="3" t="s">
        <v>45</v>
      </c>
      <c r="Q50" s="3" t="s">
        <v>90</v>
      </c>
      <c r="AI50" s="3" t="str">
        <f t="shared" si="1"/>
        <v/>
      </c>
      <c r="AJ50" s="3" t="s">
        <v>47</v>
      </c>
      <c r="AK50" s="3" t="s">
        <v>48</v>
      </c>
    </row>
    <row r="51" ht="15.75" customHeight="1">
      <c r="A51" s="3" t="s">
        <v>39</v>
      </c>
      <c r="B51" s="4" t="str">
        <f>HYPERLINK("https://www.senado.gob.ar/parlamentario/comisiones/verExp/203.26/PE/AC","203")</f>
        <v>203</v>
      </c>
      <c r="C51" s="4" t="str">
        <f>HYPERLINK("https://www.senado.gob.ar/parlamentario/comisiones/verExp/203.26/PE/AC","2026")</f>
        <v>2026</v>
      </c>
      <c r="D51" s="3" t="s">
        <v>40</v>
      </c>
      <c r="E51" s="5" t="s">
        <v>109</v>
      </c>
      <c r="F51" s="3" t="s">
        <v>88</v>
      </c>
      <c r="I51" s="3" t="s">
        <v>89</v>
      </c>
      <c r="K51" s="3" t="s">
        <v>44</v>
      </c>
      <c r="L51" s="3" t="s">
        <v>89</v>
      </c>
      <c r="O51" s="3">
        <v>71.0</v>
      </c>
      <c r="P51" s="3" t="s">
        <v>45</v>
      </c>
      <c r="Q51" s="3" t="s">
        <v>90</v>
      </c>
      <c r="AI51" s="3" t="str">
        <f t="shared" si="1"/>
        <v/>
      </c>
      <c r="AJ51" s="3" t="s">
        <v>47</v>
      </c>
      <c r="AK51" s="3" t="s">
        <v>48</v>
      </c>
    </row>
    <row r="52" ht="15.75" customHeight="1">
      <c r="A52" s="3" t="s">
        <v>39</v>
      </c>
      <c r="B52" s="4" t="str">
        <f>HYPERLINK("https://www.senado.gob.ar/parlamentario/comisiones/verExp/202.26/PE/AC","202")</f>
        <v>202</v>
      </c>
      <c r="C52" s="4" t="str">
        <f>HYPERLINK("https://www.senado.gob.ar/parlamentario/comisiones/verExp/202.26/PE/AC","2026")</f>
        <v>2026</v>
      </c>
      <c r="D52" s="3" t="s">
        <v>40</v>
      </c>
      <c r="E52" s="5" t="s">
        <v>110</v>
      </c>
      <c r="F52" s="3" t="s">
        <v>88</v>
      </c>
      <c r="I52" s="3" t="s">
        <v>89</v>
      </c>
      <c r="K52" s="3" t="s">
        <v>44</v>
      </c>
      <c r="L52" s="3" t="s">
        <v>89</v>
      </c>
      <c r="O52" s="3">
        <v>71.0</v>
      </c>
      <c r="P52" s="3" t="s">
        <v>45</v>
      </c>
      <c r="Q52" s="3" t="s">
        <v>90</v>
      </c>
      <c r="AI52" s="3" t="str">
        <f t="shared" si="1"/>
        <v/>
      </c>
      <c r="AJ52" s="3" t="s">
        <v>47</v>
      </c>
      <c r="AK52" s="3" t="s">
        <v>48</v>
      </c>
    </row>
    <row r="53" ht="15.75" customHeight="1">
      <c r="A53" s="3" t="s">
        <v>39</v>
      </c>
      <c r="B53" s="4" t="str">
        <f>HYPERLINK("https://www.senado.gob.ar/parlamentario/comisiones/verExp/195.26/PE/AC","195")</f>
        <v>195</v>
      </c>
      <c r="C53" s="4" t="str">
        <f>HYPERLINK("https://www.senado.gob.ar/parlamentario/comisiones/verExp/195.26/PE/AC","2026")</f>
        <v>2026</v>
      </c>
      <c r="D53" s="3" t="s">
        <v>40</v>
      </c>
      <c r="E53" s="5" t="s">
        <v>111</v>
      </c>
      <c r="F53" s="3" t="s">
        <v>112</v>
      </c>
      <c r="I53" s="3" t="s">
        <v>113</v>
      </c>
      <c r="K53" s="3" t="s">
        <v>44</v>
      </c>
      <c r="L53" s="3" t="s">
        <v>113</v>
      </c>
      <c r="O53" s="3">
        <v>71.0</v>
      </c>
      <c r="P53" s="3" t="s">
        <v>45</v>
      </c>
      <c r="Q53" s="3" t="s">
        <v>114</v>
      </c>
      <c r="AI53" s="3" t="str">
        <f t="shared" si="1"/>
        <v/>
      </c>
      <c r="AJ53" s="3" t="s">
        <v>47</v>
      </c>
      <c r="AK53" s="3" t="s">
        <v>48</v>
      </c>
    </row>
    <row r="54" ht="15.75" customHeight="1">
      <c r="A54" s="3" t="s">
        <v>39</v>
      </c>
      <c r="B54" s="4" t="str">
        <f>HYPERLINK("https://www.senado.gob.ar/parlamentario/comisiones/verExp/194.26/PE/AC","194")</f>
        <v>194</v>
      </c>
      <c r="C54" s="4" t="str">
        <f>HYPERLINK("https://www.senado.gob.ar/parlamentario/comisiones/verExp/194.26/PE/AC","2026")</f>
        <v>2026</v>
      </c>
      <c r="D54" s="3" t="s">
        <v>40</v>
      </c>
      <c r="E54" s="5" t="s">
        <v>115</v>
      </c>
      <c r="F54" s="3" t="s">
        <v>112</v>
      </c>
      <c r="I54" s="3" t="s">
        <v>113</v>
      </c>
      <c r="K54" s="3" t="s">
        <v>44</v>
      </c>
      <c r="L54" s="3" t="s">
        <v>113</v>
      </c>
      <c r="O54" s="3">
        <v>71.0</v>
      </c>
      <c r="P54" s="3" t="s">
        <v>45</v>
      </c>
      <c r="Q54" s="3" t="s">
        <v>114</v>
      </c>
      <c r="AI54" s="3" t="str">
        <f t="shared" si="1"/>
        <v/>
      </c>
      <c r="AJ54" s="3" t="s">
        <v>47</v>
      </c>
      <c r="AK54" s="3" t="s">
        <v>48</v>
      </c>
    </row>
    <row r="55" ht="15.75" customHeight="1">
      <c r="A55" s="3" t="s">
        <v>39</v>
      </c>
      <c r="B55" s="4" t="str">
        <f>HYPERLINK("https://www.senado.gob.ar/parlamentario/comisiones/verExp/192.26/PE/AC","192")</f>
        <v>192</v>
      </c>
      <c r="C55" s="4" t="str">
        <f>HYPERLINK("https://www.senado.gob.ar/parlamentario/comisiones/verExp/192.26/PE/AC","2026")</f>
        <v>2026</v>
      </c>
      <c r="D55" s="3" t="s">
        <v>40</v>
      </c>
      <c r="E55" s="5" t="s">
        <v>116</v>
      </c>
      <c r="F55" s="3" t="s">
        <v>117</v>
      </c>
      <c r="I55" s="3" t="s">
        <v>118</v>
      </c>
      <c r="K55" s="3" t="s">
        <v>44</v>
      </c>
      <c r="L55" s="3" t="s">
        <v>119</v>
      </c>
      <c r="O55" s="3">
        <v>71.0</v>
      </c>
      <c r="P55" s="3" t="s">
        <v>45</v>
      </c>
      <c r="Q55" s="3" t="s">
        <v>120</v>
      </c>
      <c r="AI55" s="3" t="str">
        <f t="shared" si="1"/>
        <v/>
      </c>
      <c r="AJ55" s="3" t="s">
        <v>47</v>
      </c>
      <c r="AK55" s="3" t="s">
        <v>48</v>
      </c>
    </row>
    <row r="56" ht="15.75" customHeight="1">
      <c r="A56" s="3" t="s">
        <v>39</v>
      </c>
      <c r="B56" s="4" t="str">
        <f>HYPERLINK("https://www.senado.gob.ar/parlamentario/comisiones/verExp/191.26/PE/AC","191")</f>
        <v>191</v>
      </c>
      <c r="C56" s="4" t="str">
        <f>HYPERLINK("https://www.senado.gob.ar/parlamentario/comisiones/verExp/191.26/PE/AC","2026")</f>
        <v>2026</v>
      </c>
      <c r="D56" s="3" t="s">
        <v>40</v>
      </c>
      <c r="E56" s="5" t="s">
        <v>121</v>
      </c>
      <c r="F56" s="3" t="s">
        <v>117</v>
      </c>
      <c r="I56" s="3" t="s">
        <v>118</v>
      </c>
      <c r="K56" s="3" t="s">
        <v>44</v>
      </c>
      <c r="L56" s="3" t="s">
        <v>119</v>
      </c>
      <c r="O56" s="3">
        <v>71.0</v>
      </c>
      <c r="P56" s="3" t="s">
        <v>45</v>
      </c>
      <c r="Q56" s="3" t="s">
        <v>120</v>
      </c>
      <c r="AI56" s="3" t="str">
        <f t="shared" si="1"/>
        <v/>
      </c>
      <c r="AJ56" s="3" t="s">
        <v>47</v>
      </c>
      <c r="AK56" s="3" t="s">
        <v>48</v>
      </c>
    </row>
    <row r="57" ht="15.75" customHeight="1">
      <c r="A57" s="3" t="s">
        <v>39</v>
      </c>
      <c r="B57" s="4" t="str">
        <f>HYPERLINK("https://www.senado.gob.ar/parlamentario/comisiones/verExp/190.26/PE/AC","190")</f>
        <v>190</v>
      </c>
      <c r="C57" s="4" t="str">
        <f>HYPERLINK("https://www.senado.gob.ar/parlamentario/comisiones/verExp/190.26/PE/AC","2026")</f>
        <v>2026</v>
      </c>
      <c r="D57" s="3" t="s">
        <v>40</v>
      </c>
      <c r="E57" s="5" t="s">
        <v>122</v>
      </c>
      <c r="F57" s="3" t="s">
        <v>117</v>
      </c>
      <c r="H57" s="3" t="s">
        <v>123</v>
      </c>
      <c r="I57" s="3" t="s">
        <v>118</v>
      </c>
      <c r="K57" s="3" t="s">
        <v>124</v>
      </c>
      <c r="L57" s="3" t="s">
        <v>119</v>
      </c>
      <c r="O57" s="3">
        <v>71.0</v>
      </c>
      <c r="P57" s="3" t="s">
        <v>45</v>
      </c>
      <c r="Q57" s="3" t="s">
        <v>120</v>
      </c>
      <c r="R57" s="3" t="s">
        <v>125</v>
      </c>
      <c r="AI57" s="4" t="str">
        <f>HYPERLINK("https://www.senado.gob.ar/parlamentario/parlamentaria/ordenDelDiaResultadoLink/2026/219"," 219 2026 AP -")</f>
        <v> 219 2026 AP -</v>
      </c>
      <c r="AJ57" s="3" t="s">
        <v>126</v>
      </c>
      <c r="AK57" s="3" t="s">
        <v>48</v>
      </c>
      <c r="AM57" s="3" t="s">
        <v>123</v>
      </c>
    </row>
    <row r="58" ht="15.75" customHeight="1">
      <c r="A58" s="3" t="s">
        <v>39</v>
      </c>
      <c r="B58" s="4" t="str">
        <f>HYPERLINK("https://www.senado.gob.ar/parlamentario/comisiones/verExp/189.26/PE/AC","189")</f>
        <v>189</v>
      </c>
      <c r="C58" s="4" t="str">
        <f>HYPERLINK("https://www.senado.gob.ar/parlamentario/comisiones/verExp/189.26/PE/AC","2026")</f>
        <v>2026</v>
      </c>
      <c r="D58" s="3" t="s">
        <v>40</v>
      </c>
      <c r="E58" s="5" t="s">
        <v>127</v>
      </c>
      <c r="F58" s="3" t="s">
        <v>117</v>
      </c>
      <c r="I58" s="3" t="s">
        <v>118</v>
      </c>
      <c r="K58" s="3" t="s">
        <v>44</v>
      </c>
      <c r="L58" s="3" t="s">
        <v>119</v>
      </c>
      <c r="O58" s="3">
        <v>71.0</v>
      </c>
      <c r="P58" s="3" t="s">
        <v>45</v>
      </c>
      <c r="Q58" s="3" t="s">
        <v>120</v>
      </c>
      <c r="AI58" s="3" t="str">
        <f>HYPERLINK("","")</f>
        <v/>
      </c>
      <c r="AJ58" s="3" t="s">
        <v>47</v>
      </c>
      <c r="AK58" s="3" t="s">
        <v>48</v>
      </c>
    </row>
    <row r="59" ht="15.75" customHeight="1">
      <c r="A59" s="3" t="s">
        <v>39</v>
      </c>
      <c r="B59" s="4" t="str">
        <f>HYPERLINK("https://www.senado.gob.ar/parlamentario/comisiones/verExp/188.26/PE/AC","188")</f>
        <v>188</v>
      </c>
      <c r="C59" s="4" t="str">
        <f>HYPERLINK("https://www.senado.gob.ar/parlamentario/comisiones/verExp/188.26/PE/AC","2026")</f>
        <v>2026</v>
      </c>
      <c r="D59" s="3" t="s">
        <v>40</v>
      </c>
      <c r="E59" s="5" t="s">
        <v>128</v>
      </c>
      <c r="F59" s="3" t="s">
        <v>117</v>
      </c>
      <c r="H59" s="3" t="s">
        <v>123</v>
      </c>
      <c r="I59" s="3" t="s">
        <v>118</v>
      </c>
      <c r="K59" s="3" t="s">
        <v>124</v>
      </c>
      <c r="L59" s="3" t="s">
        <v>119</v>
      </c>
      <c r="O59" s="3">
        <v>71.0</v>
      </c>
      <c r="P59" s="3" t="s">
        <v>45</v>
      </c>
      <c r="Q59" s="3" t="s">
        <v>120</v>
      </c>
      <c r="R59" s="3" t="s">
        <v>125</v>
      </c>
      <c r="AI59" s="4" t="str">
        <f>HYPERLINK("https://www.senado.gob.ar/parlamentario/parlamentaria/ordenDelDiaResultadoLink/2026/218"," 218 2026 AP -")</f>
        <v> 218 2026 AP -</v>
      </c>
      <c r="AJ59" s="3" t="s">
        <v>126</v>
      </c>
      <c r="AK59" s="3" t="s">
        <v>48</v>
      </c>
      <c r="AM59" s="3" t="s">
        <v>123</v>
      </c>
    </row>
    <row r="60" ht="15.75" customHeight="1">
      <c r="A60" s="3" t="s">
        <v>39</v>
      </c>
      <c r="B60" s="4" t="str">
        <f>HYPERLINK("https://www.senado.gob.ar/parlamentario/comisiones/verExp/183.26/PE/AC","183")</f>
        <v>183</v>
      </c>
      <c r="C60" s="4" t="str">
        <f>HYPERLINK("https://www.senado.gob.ar/parlamentario/comisiones/verExp/183.26/PE/AC","2026")</f>
        <v>2026</v>
      </c>
      <c r="D60" s="3" t="s">
        <v>40</v>
      </c>
      <c r="E60" s="5" t="s">
        <v>129</v>
      </c>
      <c r="F60" s="3" t="s">
        <v>130</v>
      </c>
      <c r="H60" s="3" t="s">
        <v>123</v>
      </c>
      <c r="I60" s="3" t="s">
        <v>131</v>
      </c>
      <c r="K60" s="3" t="s">
        <v>124</v>
      </c>
      <c r="L60" s="3" t="s">
        <v>131</v>
      </c>
      <c r="O60" s="3">
        <v>71.0</v>
      </c>
      <c r="P60" s="3" t="s">
        <v>45</v>
      </c>
      <c r="Q60" s="3" t="s">
        <v>132</v>
      </c>
      <c r="R60" s="3" t="s">
        <v>125</v>
      </c>
      <c r="AI60" s="4" t="str">
        <f>HYPERLINK("https://www.senado.gob.ar/parlamentario/parlamentaria/ordenDelDiaResultadoLink/2026/217"," 217 2026 AP -")</f>
        <v> 217 2026 AP -</v>
      </c>
      <c r="AJ60" s="3" t="s">
        <v>126</v>
      </c>
      <c r="AK60" s="3" t="s">
        <v>48</v>
      </c>
      <c r="AM60" s="3" t="s">
        <v>123</v>
      </c>
    </row>
    <row r="61" ht="15.75" customHeight="1">
      <c r="A61" s="3" t="s">
        <v>39</v>
      </c>
      <c r="B61" s="4" t="str">
        <f>HYPERLINK("https://www.senado.gob.ar/parlamentario/comisiones/verExp/182.26/PE/AC","182")</f>
        <v>182</v>
      </c>
      <c r="C61" s="4" t="str">
        <f>HYPERLINK("https://www.senado.gob.ar/parlamentario/comisiones/verExp/182.26/PE/AC","2026")</f>
        <v>2026</v>
      </c>
      <c r="D61" s="3" t="s">
        <v>40</v>
      </c>
      <c r="E61" s="5" t="s">
        <v>133</v>
      </c>
      <c r="F61" s="3" t="s">
        <v>130</v>
      </c>
      <c r="I61" s="3" t="s">
        <v>131</v>
      </c>
      <c r="K61" s="3" t="s">
        <v>43</v>
      </c>
      <c r="L61" s="3" t="s">
        <v>131</v>
      </c>
      <c r="O61" s="3">
        <v>71.0</v>
      </c>
      <c r="P61" s="3" t="s">
        <v>45</v>
      </c>
      <c r="Q61" s="3" t="s">
        <v>132</v>
      </c>
      <c r="R61" s="3" t="s">
        <v>46</v>
      </c>
      <c r="AI61" s="4" t="str">
        <f>HYPERLINK("https://www.senado.gob.ar/parlamentario/parlamentaria/ordenDelDiaResultadoLink/2026/254"," 254 2026 PE -")</f>
        <v> 254 2026 PE -</v>
      </c>
      <c r="AJ61" s="3" t="s">
        <v>47</v>
      </c>
      <c r="AK61" s="3" t="s">
        <v>48</v>
      </c>
    </row>
    <row r="62" ht="15.75" customHeight="1">
      <c r="A62" s="3" t="s">
        <v>39</v>
      </c>
      <c r="B62" s="4" t="str">
        <f>HYPERLINK("https://www.senado.gob.ar/parlamentario/comisiones/verExp/181.26/PE/AC","181")</f>
        <v>181</v>
      </c>
      <c r="C62" s="4" t="str">
        <f>HYPERLINK("https://www.senado.gob.ar/parlamentario/comisiones/verExp/181.26/PE/AC","2026")</f>
        <v>2026</v>
      </c>
      <c r="D62" s="3" t="s">
        <v>40</v>
      </c>
      <c r="E62" s="5" t="s">
        <v>134</v>
      </c>
      <c r="F62" s="3" t="s">
        <v>130</v>
      </c>
      <c r="I62" s="3" t="s">
        <v>131</v>
      </c>
      <c r="K62" s="3" t="s">
        <v>43</v>
      </c>
      <c r="L62" s="3" t="s">
        <v>131</v>
      </c>
      <c r="O62" s="3">
        <v>71.0</v>
      </c>
      <c r="P62" s="3" t="s">
        <v>45</v>
      </c>
      <c r="Q62" s="3" t="s">
        <v>132</v>
      </c>
      <c r="R62" s="3" t="s">
        <v>46</v>
      </c>
      <c r="AI62" s="4" t="str">
        <f>HYPERLINK("https://www.senado.gob.ar/parlamentario/parlamentaria/ordenDelDiaResultadoLink/2026/253"," 253 2026 PE -")</f>
        <v> 253 2026 PE -</v>
      </c>
      <c r="AJ62" s="3" t="s">
        <v>47</v>
      </c>
      <c r="AK62" s="3" t="s">
        <v>48</v>
      </c>
    </row>
    <row r="63" ht="15.75" customHeight="1">
      <c r="A63" s="3" t="s">
        <v>39</v>
      </c>
      <c r="B63" s="4" t="str">
        <f>HYPERLINK("https://www.senado.gob.ar/parlamentario/comisiones/verExp/173.26/PE/AC","173")</f>
        <v>173</v>
      </c>
      <c r="C63" s="4" t="str">
        <f>HYPERLINK("https://www.senado.gob.ar/parlamentario/comisiones/verExp/173.26/PE/AC","2026")</f>
        <v>2026</v>
      </c>
      <c r="D63" s="3" t="s">
        <v>40</v>
      </c>
      <c r="E63" s="5" t="s">
        <v>135</v>
      </c>
      <c r="F63" s="3" t="s">
        <v>136</v>
      </c>
      <c r="H63" s="3" t="s">
        <v>123</v>
      </c>
      <c r="I63" s="3" t="s">
        <v>137</v>
      </c>
      <c r="K63" s="3" t="s">
        <v>124</v>
      </c>
      <c r="L63" s="3" t="s">
        <v>137</v>
      </c>
      <c r="O63" s="3">
        <v>71.0</v>
      </c>
      <c r="P63" s="3" t="s">
        <v>45</v>
      </c>
      <c r="Q63" s="3" t="s">
        <v>138</v>
      </c>
      <c r="R63" s="3" t="s">
        <v>125</v>
      </c>
      <c r="AI63" s="4" t="str">
        <f>HYPERLINK("https://www.senado.gob.ar/parlamentario/parlamentaria/ordenDelDiaResultadoLink/2026/216"," 216 2026 AP -")</f>
        <v> 216 2026 AP -</v>
      </c>
      <c r="AJ63" s="3" t="s">
        <v>126</v>
      </c>
      <c r="AK63" s="3" t="s">
        <v>48</v>
      </c>
      <c r="AM63" s="3" t="s">
        <v>123</v>
      </c>
    </row>
    <row r="64" ht="15.75" customHeight="1">
      <c r="A64" s="3" t="s">
        <v>39</v>
      </c>
      <c r="B64" s="4" t="str">
        <f>HYPERLINK("https://www.senado.gob.ar/parlamentario/comisiones/verExp/172.26/PE/AC","172")</f>
        <v>172</v>
      </c>
      <c r="C64" s="4" t="str">
        <f>HYPERLINK("https://www.senado.gob.ar/parlamentario/comisiones/verExp/172.26/PE/AC","2026")</f>
        <v>2026</v>
      </c>
      <c r="D64" s="3" t="s">
        <v>40</v>
      </c>
      <c r="E64" s="5" t="s">
        <v>139</v>
      </c>
      <c r="F64" s="3" t="s">
        <v>136</v>
      </c>
      <c r="I64" s="3" t="s">
        <v>137</v>
      </c>
      <c r="K64" s="3" t="s">
        <v>43</v>
      </c>
      <c r="L64" s="3" t="s">
        <v>137</v>
      </c>
      <c r="O64" s="3">
        <v>71.0</v>
      </c>
      <c r="P64" s="3" t="s">
        <v>45</v>
      </c>
      <c r="Q64" s="3" t="s">
        <v>138</v>
      </c>
      <c r="R64" s="3" t="s">
        <v>46</v>
      </c>
      <c r="AI64" s="4" t="str">
        <f>HYPERLINK("https://www.senado.gob.ar/parlamentario/parlamentaria/ordenDelDiaResultadoLink/2026/252"," 252 2026 PE -")</f>
        <v> 252 2026 PE -</v>
      </c>
      <c r="AJ64" s="3" t="s">
        <v>47</v>
      </c>
      <c r="AK64" s="3" t="s">
        <v>48</v>
      </c>
    </row>
    <row r="65" ht="15.75" customHeight="1">
      <c r="A65" s="3" t="s">
        <v>39</v>
      </c>
      <c r="B65" s="4" t="str">
        <f>HYPERLINK("https://www.senado.gob.ar/parlamentario/comisiones/verExp/171.26/PE/AC","171")</f>
        <v>171</v>
      </c>
      <c r="C65" s="4" t="str">
        <f>HYPERLINK("https://www.senado.gob.ar/parlamentario/comisiones/verExp/171.26/PE/AC","2026")</f>
        <v>2026</v>
      </c>
      <c r="D65" s="3" t="s">
        <v>40</v>
      </c>
      <c r="E65" s="5" t="s">
        <v>140</v>
      </c>
      <c r="F65" s="3" t="s">
        <v>141</v>
      </c>
      <c r="I65" s="3" t="s">
        <v>142</v>
      </c>
      <c r="K65" s="3" t="s">
        <v>43</v>
      </c>
      <c r="L65" s="3" t="s">
        <v>142</v>
      </c>
      <c r="O65" s="3">
        <v>71.0</v>
      </c>
      <c r="P65" s="3" t="s">
        <v>45</v>
      </c>
      <c r="Q65" s="3" t="s">
        <v>143</v>
      </c>
      <c r="R65" s="3" t="s">
        <v>46</v>
      </c>
      <c r="AI65" s="4" t="str">
        <f>HYPERLINK("https://www.senado.gob.ar/parlamentario/parlamentaria/ordenDelDiaResultadoLink/2026/251"," 251 2026 PE -")</f>
        <v> 251 2026 PE -</v>
      </c>
      <c r="AJ65" s="3" t="s">
        <v>47</v>
      </c>
      <c r="AK65" s="3" t="s">
        <v>48</v>
      </c>
    </row>
    <row r="66" ht="15.75" customHeight="1">
      <c r="A66" s="3" t="s">
        <v>39</v>
      </c>
      <c r="B66" s="4" t="str">
        <f>HYPERLINK("https://www.senado.gob.ar/parlamentario/comisiones/verExp/170.26/PE/AC","170")</f>
        <v>170</v>
      </c>
      <c r="C66" s="4" t="str">
        <f>HYPERLINK("https://www.senado.gob.ar/parlamentario/comisiones/verExp/170.26/PE/AC","2026")</f>
        <v>2026</v>
      </c>
      <c r="D66" s="3" t="s">
        <v>40</v>
      </c>
      <c r="E66" s="5" t="s">
        <v>144</v>
      </c>
      <c r="F66" s="3" t="s">
        <v>141</v>
      </c>
      <c r="I66" s="3" t="s">
        <v>142</v>
      </c>
      <c r="K66" s="3" t="s">
        <v>43</v>
      </c>
      <c r="L66" s="3" t="s">
        <v>142</v>
      </c>
      <c r="O66" s="3">
        <v>71.0</v>
      </c>
      <c r="P66" s="3" t="s">
        <v>45</v>
      </c>
      <c r="Q66" s="3" t="s">
        <v>143</v>
      </c>
      <c r="R66" s="3" t="s">
        <v>46</v>
      </c>
      <c r="AI66" s="4" t="str">
        <f>HYPERLINK("https://www.senado.gob.ar/parlamentario/parlamentaria/ordenDelDiaResultadoLink/2026/250"," 250 2026 PE -")</f>
        <v> 250 2026 PE -</v>
      </c>
      <c r="AJ66" s="3" t="s">
        <v>47</v>
      </c>
      <c r="AK66" s="3" t="s">
        <v>48</v>
      </c>
    </row>
    <row r="67" ht="15.75" customHeight="1">
      <c r="A67" s="3" t="s">
        <v>39</v>
      </c>
      <c r="B67" s="4" t="str">
        <f>HYPERLINK("https://www.senado.gob.ar/parlamentario/comisiones/verExp/168.26/PE/AC","168")</f>
        <v>168</v>
      </c>
      <c r="C67" s="4" t="str">
        <f>HYPERLINK("https://www.senado.gob.ar/parlamentario/comisiones/verExp/168.26/PE/AC","2026")</f>
        <v>2026</v>
      </c>
      <c r="D67" s="3" t="s">
        <v>40</v>
      </c>
      <c r="E67" s="5" t="s">
        <v>145</v>
      </c>
      <c r="F67" s="3" t="s">
        <v>146</v>
      </c>
      <c r="H67" s="3" t="s">
        <v>123</v>
      </c>
      <c r="I67" s="3" t="s">
        <v>147</v>
      </c>
      <c r="K67" s="3" t="s">
        <v>124</v>
      </c>
      <c r="L67" s="3" t="s">
        <v>147</v>
      </c>
      <c r="O67" s="3">
        <v>71.0</v>
      </c>
      <c r="P67" s="3" t="s">
        <v>45</v>
      </c>
      <c r="Q67" s="3" t="s">
        <v>148</v>
      </c>
      <c r="R67" s="3" t="s">
        <v>125</v>
      </c>
      <c r="AI67" s="4" t="str">
        <f>HYPERLINK("https://www.senado.gob.ar/parlamentario/parlamentaria/ordenDelDiaResultadoLink/2026/215"," 215 2026 AP -")</f>
        <v> 215 2026 AP -</v>
      </c>
      <c r="AJ67" s="3" t="s">
        <v>126</v>
      </c>
      <c r="AK67" s="3" t="s">
        <v>48</v>
      </c>
      <c r="AM67" s="3" t="s">
        <v>123</v>
      </c>
    </row>
    <row r="68" ht="15.75" customHeight="1">
      <c r="A68" s="3" t="s">
        <v>39</v>
      </c>
      <c r="B68" s="4" t="str">
        <f>HYPERLINK("https://www.senado.gob.ar/parlamentario/comisiones/verExp/167.26/PE/AC","167")</f>
        <v>167</v>
      </c>
      <c r="C68" s="4" t="str">
        <f>HYPERLINK("https://www.senado.gob.ar/parlamentario/comisiones/verExp/167.26/PE/AC","2026")</f>
        <v>2026</v>
      </c>
      <c r="D68" s="3" t="s">
        <v>40</v>
      </c>
      <c r="E68" s="5" t="s">
        <v>149</v>
      </c>
      <c r="F68" s="3" t="s">
        <v>146</v>
      </c>
      <c r="I68" s="3" t="s">
        <v>147</v>
      </c>
      <c r="K68" s="3" t="s">
        <v>44</v>
      </c>
      <c r="L68" s="3" t="s">
        <v>147</v>
      </c>
      <c r="O68" s="3">
        <v>71.0</v>
      </c>
      <c r="P68" s="3" t="s">
        <v>45</v>
      </c>
      <c r="Q68" s="3" t="s">
        <v>148</v>
      </c>
      <c r="AI68" s="3" t="str">
        <f t="shared" ref="AI68:AI70" si="2">HYPERLINK("","")</f>
        <v/>
      </c>
      <c r="AJ68" s="3" t="s">
        <v>47</v>
      </c>
      <c r="AK68" s="3" t="s">
        <v>48</v>
      </c>
    </row>
    <row r="69" ht="15.75" customHeight="1">
      <c r="A69" s="3" t="s">
        <v>39</v>
      </c>
      <c r="B69" s="4" t="str">
        <f>HYPERLINK("https://www.senado.gob.ar/parlamentario/comisiones/verExp/166.26/PE/AC","166")</f>
        <v>166</v>
      </c>
      <c r="C69" s="4" t="str">
        <f>HYPERLINK("https://www.senado.gob.ar/parlamentario/comisiones/verExp/166.26/PE/AC","2026")</f>
        <v>2026</v>
      </c>
      <c r="D69" s="3" t="s">
        <v>40</v>
      </c>
      <c r="E69" s="5" t="s">
        <v>150</v>
      </c>
      <c r="F69" s="3" t="s">
        <v>146</v>
      </c>
      <c r="I69" s="3" t="s">
        <v>147</v>
      </c>
      <c r="K69" s="3" t="s">
        <v>44</v>
      </c>
      <c r="L69" s="3" t="s">
        <v>147</v>
      </c>
      <c r="O69" s="3">
        <v>71.0</v>
      </c>
      <c r="P69" s="3" t="s">
        <v>45</v>
      </c>
      <c r="Q69" s="3" t="s">
        <v>148</v>
      </c>
      <c r="AI69" s="3" t="str">
        <f t="shared" si="2"/>
        <v/>
      </c>
      <c r="AJ69" s="3" t="s">
        <v>47</v>
      </c>
      <c r="AK69" s="3" t="s">
        <v>48</v>
      </c>
    </row>
    <row r="70" ht="15.75" customHeight="1">
      <c r="A70" s="3" t="s">
        <v>39</v>
      </c>
      <c r="B70" s="4" t="str">
        <f>HYPERLINK("https://www.senado.gob.ar/parlamentario/comisiones/verExp/165.26/PE/AC","165")</f>
        <v>165</v>
      </c>
      <c r="C70" s="4" t="str">
        <f>HYPERLINK("https://www.senado.gob.ar/parlamentario/comisiones/verExp/165.26/PE/AC","2026")</f>
        <v>2026</v>
      </c>
      <c r="D70" s="3" t="s">
        <v>40</v>
      </c>
      <c r="E70" s="5" t="s">
        <v>151</v>
      </c>
      <c r="F70" s="3" t="s">
        <v>146</v>
      </c>
      <c r="I70" s="3" t="s">
        <v>147</v>
      </c>
      <c r="K70" s="3" t="s">
        <v>44</v>
      </c>
      <c r="L70" s="3" t="s">
        <v>147</v>
      </c>
      <c r="O70" s="3">
        <v>71.0</v>
      </c>
      <c r="P70" s="3" t="s">
        <v>45</v>
      </c>
      <c r="Q70" s="3" t="s">
        <v>148</v>
      </c>
      <c r="AI70" s="3" t="str">
        <f t="shared" si="2"/>
        <v/>
      </c>
      <c r="AJ70" s="3" t="s">
        <v>47</v>
      </c>
      <c r="AK70" s="3" t="s">
        <v>48</v>
      </c>
    </row>
    <row r="71" ht="15.75" customHeight="1">
      <c r="A71" s="3" t="s">
        <v>39</v>
      </c>
      <c r="B71" s="4" t="str">
        <f>HYPERLINK("https://www.senado.gob.ar/parlamentario/comisiones/verExp/164.26/PE/AC","164")</f>
        <v>164</v>
      </c>
      <c r="C71" s="4" t="str">
        <f>HYPERLINK("https://www.senado.gob.ar/parlamentario/comisiones/verExp/164.26/PE/AC","2026")</f>
        <v>2026</v>
      </c>
      <c r="D71" s="3" t="s">
        <v>40</v>
      </c>
      <c r="E71" s="5" t="s">
        <v>152</v>
      </c>
      <c r="F71" s="3" t="s">
        <v>146</v>
      </c>
      <c r="I71" s="3" t="s">
        <v>147</v>
      </c>
      <c r="K71" s="3" t="s">
        <v>153</v>
      </c>
      <c r="L71" s="3" t="s">
        <v>147</v>
      </c>
      <c r="O71" s="3">
        <v>71.0</v>
      </c>
      <c r="P71" s="3" t="s">
        <v>45</v>
      </c>
      <c r="Q71" s="3" t="s">
        <v>148</v>
      </c>
      <c r="R71" s="3" t="s">
        <v>154</v>
      </c>
      <c r="AI71" s="4" t="str">
        <f>HYPERLINK("https://www.senado.gob.ar/parlamentario/parlamentaria/ordenDelDiaResultadoLink/2026/270"," 270 2026 PE -")</f>
        <v> 270 2026 PE -</v>
      </c>
      <c r="AJ71" s="3" t="s">
        <v>47</v>
      </c>
      <c r="AK71" s="3" t="s">
        <v>48</v>
      </c>
    </row>
    <row r="72" ht="15.75" customHeight="1">
      <c r="A72" s="3" t="s">
        <v>39</v>
      </c>
      <c r="B72" s="4" t="str">
        <f>HYPERLINK("https://www.senado.gob.ar/parlamentario/comisiones/verExp/163.26/PE/AC","163")</f>
        <v>163</v>
      </c>
      <c r="C72" s="4" t="str">
        <f>HYPERLINK("https://www.senado.gob.ar/parlamentario/comisiones/verExp/163.26/PE/AC","2026")</f>
        <v>2026</v>
      </c>
      <c r="D72" s="3" t="s">
        <v>40</v>
      </c>
      <c r="E72" s="5" t="s">
        <v>155</v>
      </c>
      <c r="F72" s="3" t="s">
        <v>146</v>
      </c>
      <c r="H72" s="3" t="s">
        <v>123</v>
      </c>
      <c r="I72" s="3" t="s">
        <v>147</v>
      </c>
      <c r="K72" s="3" t="s">
        <v>124</v>
      </c>
      <c r="L72" s="3" t="s">
        <v>147</v>
      </c>
      <c r="O72" s="3">
        <v>71.0</v>
      </c>
      <c r="P72" s="3" t="s">
        <v>45</v>
      </c>
      <c r="Q72" s="3" t="s">
        <v>148</v>
      </c>
      <c r="R72" s="3" t="s">
        <v>125</v>
      </c>
      <c r="AI72" s="4" t="str">
        <f>HYPERLINK("https://www.senado.gob.ar/parlamentario/parlamentaria/ordenDelDiaResultadoLink/2026/214"," 214 2026 AP -")</f>
        <v> 214 2026 AP -</v>
      </c>
      <c r="AJ72" s="3" t="s">
        <v>126</v>
      </c>
      <c r="AK72" s="3" t="s">
        <v>48</v>
      </c>
      <c r="AM72" s="3" t="s">
        <v>123</v>
      </c>
    </row>
    <row r="73" ht="15.75" customHeight="1">
      <c r="A73" s="3" t="s">
        <v>39</v>
      </c>
      <c r="B73" s="4" t="str">
        <f>HYPERLINK("https://www.senado.gob.ar/parlamentario/comisiones/verExp/162.26/PE/AC","162")</f>
        <v>162</v>
      </c>
      <c r="C73" s="4" t="str">
        <f>HYPERLINK("https://www.senado.gob.ar/parlamentario/comisiones/verExp/162.26/PE/AC","2026")</f>
        <v>2026</v>
      </c>
      <c r="D73" s="3" t="s">
        <v>40</v>
      </c>
      <c r="E73" s="5" t="s">
        <v>156</v>
      </c>
      <c r="F73" s="3" t="s">
        <v>146</v>
      </c>
      <c r="I73" s="3" t="s">
        <v>147</v>
      </c>
      <c r="K73" s="3" t="s">
        <v>44</v>
      </c>
      <c r="L73" s="3" t="s">
        <v>147</v>
      </c>
      <c r="O73" s="3">
        <v>71.0</v>
      </c>
      <c r="P73" s="3" t="s">
        <v>45</v>
      </c>
      <c r="Q73" s="3" t="s">
        <v>148</v>
      </c>
      <c r="AI73" s="3" t="str">
        <f>HYPERLINK("","")</f>
        <v/>
      </c>
      <c r="AJ73" s="3" t="s">
        <v>47</v>
      </c>
      <c r="AK73" s="3" t="s">
        <v>48</v>
      </c>
    </row>
    <row r="74" ht="15.75" customHeight="1">
      <c r="A74" s="3" t="s">
        <v>39</v>
      </c>
      <c r="B74" s="4" t="str">
        <f>HYPERLINK("https://www.senado.gob.ar/parlamentario/comisiones/verExp/161.26/PE/AC","161")</f>
        <v>161</v>
      </c>
      <c r="C74" s="4" t="str">
        <f>HYPERLINK("https://www.senado.gob.ar/parlamentario/comisiones/verExp/161.26/PE/AC","2026")</f>
        <v>2026</v>
      </c>
      <c r="D74" s="3" t="s">
        <v>40</v>
      </c>
      <c r="E74" s="5" t="s">
        <v>157</v>
      </c>
      <c r="F74" s="3" t="s">
        <v>146</v>
      </c>
      <c r="H74" s="3" t="s">
        <v>123</v>
      </c>
      <c r="I74" s="3" t="s">
        <v>147</v>
      </c>
      <c r="K74" s="3" t="s">
        <v>124</v>
      </c>
      <c r="L74" s="3" t="s">
        <v>147</v>
      </c>
      <c r="O74" s="3">
        <v>71.0</v>
      </c>
      <c r="P74" s="3" t="s">
        <v>45</v>
      </c>
      <c r="Q74" s="3" t="s">
        <v>148</v>
      </c>
      <c r="R74" s="3" t="s">
        <v>125</v>
      </c>
      <c r="AI74" s="4" t="str">
        <f>HYPERLINK("https://www.senado.gob.ar/parlamentario/parlamentaria/ordenDelDiaResultadoLink/2026/213"," 213 2026 AP -")</f>
        <v> 213 2026 AP -</v>
      </c>
      <c r="AJ74" s="3" t="s">
        <v>126</v>
      </c>
      <c r="AK74" s="3" t="s">
        <v>48</v>
      </c>
      <c r="AM74" s="3" t="s">
        <v>123</v>
      </c>
    </row>
    <row r="75" ht="15.75" customHeight="1">
      <c r="A75" s="3" t="s">
        <v>39</v>
      </c>
      <c r="B75" s="4" t="str">
        <f>HYPERLINK("https://www.senado.gob.ar/parlamentario/comisiones/verExp/160.26/PE/AC","160")</f>
        <v>160</v>
      </c>
      <c r="C75" s="4" t="str">
        <f>HYPERLINK("https://www.senado.gob.ar/parlamentario/comisiones/verExp/160.26/PE/AC","2026")</f>
        <v>2026</v>
      </c>
      <c r="D75" s="3" t="s">
        <v>40</v>
      </c>
      <c r="E75" s="5" t="s">
        <v>158</v>
      </c>
      <c r="F75" s="3" t="s">
        <v>146</v>
      </c>
      <c r="H75" s="3" t="s">
        <v>123</v>
      </c>
      <c r="I75" s="3" t="s">
        <v>147</v>
      </c>
      <c r="K75" s="3" t="s">
        <v>124</v>
      </c>
      <c r="L75" s="3" t="s">
        <v>147</v>
      </c>
      <c r="O75" s="3">
        <v>71.0</v>
      </c>
      <c r="P75" s="3" t="s">
        <v>45</v>
      </c>
      <c r="Q75" s="3" t="s">
        <v>148</v>
      </c>
      <c r="R75" s="3" t="s">
        <v>125</v>
      </c>
      <c r="AI75" s="4" t="str">
        <f>HYPERLINK("https://www.senado.gob.ar/parlamentario/parlamentaria/ordenDelDiaResultadoLink/2026/212"," 212 2026 AP -")</f>
        <v> 212 2026 AP -</v>
      </c>
      <c r="AJ75" s="3" t="s">
        <v>126</v>
      </c>
      <c r="AK75" s="3" t="s">
        <v>48</v>
      </c>
      <c r="AM75" s="3" t="s">
        <v>123</v>
      </c>
    </row>
    <row r="76" ht="15.75" customHeight="1">
      <c r="A76" s="3" t="s">
        <v>39</v>
      </c>
      <c r="B76" s="4" t="str">
        <f>HYPERLINK("https://www.senado.gob.ar/parlamentario/comisiones/verExp/159.26/PE/AC","159")</f>
        <v>159</v>
      </c>
      <c r="C76" s="4" t="str">
        <f>HYPERLINK("https://www.senado.gob.ar/parlamentario/comisiones/verExp/159.26/PE/AC","2026")</f>
        <v>2026</v>
      </c>
      <c r="D76" s="3" t="s">
        <v>40</v>
      </c>
      <c r="E76" s="5" t="s">
        <v>159</v>
      </c>
      <c r="F76" s="3" t="s">
        <v>146</v>
      </c>
      <c r="H76" s="3" t="s">
        <v>123</v>
      </c>
      <c r="I76" s="3" t="s">
        <v>147</v>
      </c>
      <c r="K76" s="3" t="s">
        <v>124</v>
      </c>
      <c r="L76" s="3" t="s">
        <v>147</v>
      </c>
      <c r="O76" s="3">
        <v>71.0</v>
      </c>
      <c r="P76" s="3" t="s">
        <v>45</v>
      </c>
      <c r="Q76" s="3" t="s">
        <v>148</v>
      </c>
      <c r="R76" s="3" t="s">
        <v>125</v>
      </c>
      <c r="AI76" s="4" t="str">
        <f>HYPERLINK("https://www.senado.gob.ar/parlamentario/parlamentaria/ordenDelDiaResultadoLink/2026/211"," 211 2026 AP -")</f>
        <v> 211 2026 AP -</v>
      </c>
      <c r="AJ76" s="3" t="s">
        <v>126</v>
      </c>
      <c r="AK76" s="3" t="s">
        <v>48</v>
      </c>
      <c r="AM76" s="3" t="s">
        <v>123</v>
      </c>
    </row>
    <row r="77" ht="15.75" customHeight="1">
      <c r="A77" s="3" t="s">
        <v>39</v>
      </c>
      <c r="B77" s="4" t="str">
        <f>HYPERLINK("https://www.senado.gob.ar/parlamentario/comisiones/verExp/158.26/PE/AC","158")</f>
        <v>158</v>
      </c>
      <c r="C77" s="4" t="str">
        <f>HYPERLINK("https://www.senado.gob.ar/parlamentario/comisiones/verExp/158.26/PE/AC","2026")</f>
        <v>2026</v>
      </c>
      <c r="D77" s="3" t="s">
        <v>40</v>
      </c>
      <c r="E77" s="5" t="s">
        <v>160</v>
      </c>
      <c r="F77" s="3" t="s">
        <v>146</v>
      </c>
      <c r="H77" s="3" t="s">
        <v>123</v>
      </c>
      <c r="I77" s="3" t="s">
        <v>147</v>
      </c>
      <c r="K77" s="3" t="s">
        <v>124</v>
      </c>
      <c r="L77" s="3" t="s">
        <v>147</v>
      </c>
      <c r="O77" s="3">
        <v>71.0</v>
      </c>
      <c r="P77" s="3" t="s">
        <v>45</v>
      </c>
      <c r="Q77" s="3" t="s">
        <v>148</v>
      </c>
      <c r="R77" s="3" t="s">
        <v>125</v>
      </c>
      <c r="AI77" s="4" t="str">
        <f>HYPERLINK("https://www.senado.gob.ar/parlamentario/parlamentaria/ordenDelDiaResultadoLink/2026/210"," 210 2026 AP -")</f>
        <v> 210 2026 AP -</v>
      </c>
      <c r="AJ77" s="3" t="s">
        <v>126</v>
      </c>
      <c r="AK77" s="3" t="s">
        <v>48</v>
      </c>
      <c r="AM77" s="3" t="s">
        <v>123</v>
      </c>
    </row>
    <row r="78" ht="15.75" customHeight="1">
      <c r="A78" s="3" t="s">
        <v>39</v>
      </c>
      <c r="B78" s="4" t="str">
        <f>HYPERLINK("https://www.senado.gob.ar/parlamentario/comisiones/verExp/157.26/PE/AC","157")</f>
        <v>157</v>
      </c>
      <c r="C78" s="4" t="str">
        <f>HYPERLINK("https://www.senado.gob.ar/parlamentario/comisiones/verExp/157.26/PE/AC","2026")</f>
        <v>2026</v>
      </c>
      <c r="D78" s="3" t="s">
        <v>40</v>
      </c>
      <c r="E78" s="5" t="s">
        <v>161</v>
      </c>
      <c r="F78" s="3" t="s">
        <v>146</v>
      </c>
      <c r="I78" s="3" t="s">
        <v>147</v>
      </c>
      <c r="K78" s="3" t="s">
        <v>44</v>
      </c>
      <c r="L78" s="3" t="s">
        <v>147</v>
      </c>
      <c r="O78" s="3">
        <v>71.0</v>
      </c>
      <c r="P78" s="3" t="s">
        <v>45</v>
      </c>
      <c r="Q78" s="3" t="s">
        <v>148</v>
      </c>
      <c r="AI78" s="3" t="str">
        <f>HYPERLINK("","")</f>
        <v/>
      </c>
      <c r="AJ78" s="3" t="s">
        <v>47</v>
      </c>
      <c r="AK78" s="3" t="s">
        <v>48</v>
      </c>
    </row>
    <row r="79" ht="15.75" customHeight="1">
      <c r="A79" s="3" t="s">
        <v>39</v>
      </c>
      <c r="B79" s="4" t="str">
        <f>HYPERLINK("https://www.senado.gob.ar/parlamentario/comisiones/verExp/155.26/PE/AC","155")</f>
        <v>155</v>
      </c>
      <c r="C79" s="4" t="str">
        <f>HYPERLINK("https://www.senado.gob.ar/parlamentario/comisiones/verExp/155.26/PE/AC","2026")</f>
        <v>2026</v>
      </c>
      <c r="D79" s="3" t="s">
        <v>40</v>
      </c>
      <c r="E79" s="5" t="s">
        <v>162</v>
      </c>
      <c r="F79" s="3" t="s">
        <v>163</v>
      </c>
      <c r="I79" s="3" t="s">
        <v>164</v>
      </c>
      <c r="K79" s="3" t="s">
        <v>153</v>
      </c>
      <c r="L79" s="3" t="s">
        <v>164</v>
      </c>
      <c r="O79" s="3">
        <v>71.0</v>
      </c>
      <c r="P79" s="3" t="s">
        <v>45</v>
      </c>
      <c r="Q79" s="3" t="s">
        <v>165</v>
      </c>
      <c r="R79" s="3" t="s">
        <v>154</v>
      </c>
      <c r="AI79" s="4" t="str">
        <f>HYPERLINK("https://www.senado.gob.ar/parlamentario/parlamentaria/ordenDelDiaResultadoLink/2026/269"," 269 2026 PE -")</f>
        <v> 269 2026 PE -</v>
      </c>
      <c r="AJ79" s="3" t="s">
        <v>47</v>
      </c>
      <c r="AK79" s="3" t="s">
        <v>48</v>
      </c>
    </row>
    <row r="80" ht="15.75" customHeight="1">
      <c r="A80" s="3" t="s">
        <v>39</v>
      </c>
      <c r="B80" s="4" t="str">
        <f>HYPERLINK("https://www.senado.gob.ar/parlamentario/comisiones/verExp/154.26/PE/AC","154")</f>
        <v>154</v>
      </c>
      <c r="C80" s="4" t="str">
        <f>HYPERLINK("https://www.senado.gob.ar/parlamentario/comisiones/verExp/154.26/PE/AC","2026")</f>
        <v>2026</v>
      </c>
      <c r="D80" s="3" t="s">
        <v>40</v>
      </c>
      <c r="E80" s="5" t="s">
        <v>166</v>
      </c>
      <c r="F80" s="3" t="s">
        <v>163</v>
      </c>
      <c r="I80" s="3" t="s">
        <v>164</v>
      </c>
      <c r="K80" s="3" t="s">
        <v>153</v>
      </c>
      <c r="L80" s="3" t="s">
        <v>164</v>
      </c>
      <c r="O80" s="3">
        <v>71.0</v>
      </c>
      <c r="P80" s="3" t="s">
        <v>45</v>
      </c>
      <c r="Q80" s="3" t="s">
        <v>165</v>
      </c>
      <c r="R80" s="3" t="s">
        <v>154</v>
      </c>
      <c r="AI80" s="4" t="str">
        <f>HYPERLINK("https://www.senado.gob.ar/parlamentario/parlamentaria/ordenDelDiaResultadoLink/2026/268"," 268 2026 PE -")</f>
        <v> 268 2026 PE -</v>
      </c>
      <c r="AJ80" s="3" t="s">
        <v>47</v>
      </c>
      <c r="AK80" s="3" t="s">
        <v>48</v>
      </c>
    </row>
    <row r="81" ht="15.75" customHeight="1">
      <c r="A81" s="3" t="s">
        <v>39</v>
      </c>
      <c r="B81" s="4" t="str">
        <f>HYPERLINK("https://www.senado.gob.ar/parlamentario/comisiones/verExp/153.26/PE/AC","153")</f>
        <v>153</v>
      </c>
      <c r="C81" s="4" t="str">
        <f>HYPERLINK("https://www.senado.gob.ar/parlamentario/comisiones/verExp/153.26/PE/AC","2026")</f>
        <v>2026</v>
      </c>
      <c r="D81" s="3" t="s">
        <v>40</v>
      </c>
      <c r="E81" s="5" t="s">
        <v>167</v>
      </c>
      <c r="F81" s="3" t="s">
        <v>163</v>
      </c>
      <c r="H81" s="3" t="s">
        <v>123</v>
      </c>
      <c r="I81" s="3" t="s">
        <v>164</v>
      </c>
      <c r="K81" s="3" t="s">
        <v>124</v>
      </c>
      <c r="L81" s="3" t="s">
        <v>164</v>
      </c>
      <c r="O81" s="3">
        <v>71.0</v>
      </c>
      <c r="P81" s="3" t="s">
        <v>45</v>
      </c>
      <c r="Q81" s="3" t="s">
        <v>165</v>
      </c>
      <c r="R81" s="3" t="s">
        <v>125</v>
      </c>
      <c r="AI81" s="4" t="str">
        <f>HYPERLINK("https://www.senado.gob.ar/parlamentario/parlamentaria/ordenDelDiaResultadoLink/2026/208"," 208 2026 AP -")</f>
        <v> 208 2026 AP -</v>
      </c>
      <c r="AJ81" s="3" t="s">
        <v>126</v>
      </c>
      <c r="AK81" s="3" t="s">
        <v>48</v>
      </c>
      <c r="AM81" s="3" t="s">
        <v>123</v>
      </c>
    </row>
    <row r="82" ht="15.75" customHeight="1">
      <c r="A82" s="3" t="s">
        <v>39</v>
      </c>
      <c r="B82" s="4" t="str">
        <f>HYPERLINK("https://www.senado.gob.ar/parlamentario/comisiones/verExp/152.26/PE/AC","152")</f>
        <v>152</v>
      </c>
      <c r="C82" s="4" t="str">
        <f>HYPERLINK("https://www.senado.gob.ar/parlamentario/comisiones/verExp/152.26/PE/AC","2026")</f>
        <v>2026</v>
      </c>
      <c r="D82" s="3" t="s">
        <v>40</v>
      </c>
      <c r="E82" s="5" t="s">
        <v>168</v>
      </c>
      <c r="F82" s="3" t="s">
        <v>163</v>
      </c>
      <c r="H82" s="3" t="s">
        <v>123</v>
      </c>
      <c r="I82" s="3" t="s">
        <v>164</v>
      </c>
      <c r="K82" s="3" t="s">
        <v>124</v>
      </c>
      <c r="L82" s="3" t="s">
        <v>164</v>
      </c>
      <c r="O82" s="3">
        <v>71.0</v>
      </c>
      <c r="P82" s="3" t="s">
        <v>45</v>
      </c>
      <c r="Q82" s="3" t="s">
        <v>165</v>
      </c>
      <c r="R82" s="3" t="s">
        <v>125</v>
      </c>
      <c r="AI82" s="4" t="str">
        <f>HYPERLINK("https://www.senado.gob.ar/parlamentario/parlamentaria/ordenDelDiaResultadoLink/2026/207"," 207 2026 AP -")</f>
        <v> 207 2026 AP -</v>
      </c>
      <c r="AJ82" s="3" t="s">
        <v>126</v>
      </c>
      <c r="AK82" s="3" t="s">
        <v>48</v>
      </c>
      <c r="AM82" s="3" t="s">
        <v>123</v>
      </c>
    </row>
    <row r="83" ht="15.75" customHeight="1">
      <c r="A83" s="3" t="s">
        <v>39</v>
      </c>
      <c r="B83" s="4" t="str">
        <f>HYPERLINK("https://www.senado.gob.ar/parlamentario/comisiones/verExp/151.26/PE/AC","151")</f>
        <v>151</v>
      </c>
      <c r="C83" s="4" t="str">
        <f>HYPERLINK("https://www.senado.gob.ar/parlamentario/comisiones/verExp/151.26/PE/AC","2026")</f>
        <v>2026</v>
      </c>
      <c r="D83" s="3" t="s">
        <v>40</v>
      </c>
      <c r="E83" s="5" t="s">
        <v>169</v>
      </c>
      <c r="F83" s="3" t="s">
        <v>163</v>
      </c>
      <c r="I83" s="3" t="s">
        <v>164</v>
      </c>
      <c r="K83" s="3" t="s">
        <v>153</v>
      </c>
      <c r="L83" s="3" t="s">
        <v>164</v>
      </c>
      <c r="O83" s="3">
        <v>71.0</v>
      </c>
      <c r="P83" s="3" t="s">
        <v>45</v>
      </c>
      <c r="Q83" s="3" t="s">
        <v>165</v>
      </c>
      <c r="R83" s="3" t="s">
        <v>154</v>
      </c>
      <c r="AI83" s="4" t="str">
        <f>HYPERLINK("https://www.senado.gob.ar/parlamentario/parlamentaria/ordenDelDiaResultadoLink/2026/267"," 267 2026 PE -")</f>
        <v> 267 2026 PE -</v>
      </c>
      <c r="AJ83" s="3" t="s">
        <v>47</v>
      </c>
      <c r="AK83" s="3" t="s">
        <v>48</v>
      </c>
    </row>
    <row r="84" ht="15.75" customHeight="1">
      <c r="A84" s="3" t="s">
        <v>39</v>
      </c>
      <c r="B84" s="4" t="str">
        <f>HYPERLINK("https://www.senado.gob.ar/parlamentario/comisiones/verExp/150.26/PE/AC","150")</f>
        <v>150</v>
      </c>
      <c r="C84" s="4" t="str">
        <f>HYPERLINK("https://www.senado.gob.ar/parlamentario/comisiones/verExp/150.26/PE/AC","2026")</f>
        <v>2026</v>
      </c>
      <c r="D84" s="3" t="s">
        <v>40</v>
      </c>
      <c r="E84" s="5" t="s">
        <v>170</v>
      </c>
      <c r="F84" s="3" t="s">
        <v>163</v>
      </c>
      <c r="H84" s="3" t="s">
        <v>123</v>
      </c>
      <c r="I84" s="3" t="s">
        <v>164</v>
      </c>
      <c r="K84" s="3" t="s">
        <v>124</v>
      </c>
      <c r="L84" s="3" t="s">
        <v>164</v>
      </c>
      <c r="O84" s="3">
        <v>71.0</v>
      </c>
      <c r="P84" s="3" t="s">
        <v>45</v>
      </c>
      <c r="Q84" s="3" t="s">
        <v>165</v>
      </c>
      <c r="R84" s="3" t="s">
        <v>125</v>
      </c>
      <c r="AI84" s="4" t="str">
        <f>HYPERLINK("https://www.senado.gob.ar/parlamentario/parlamentaria/ordenDelDiaResultadoLink/2026/206"," 206 2026 AP -")</f>
        <v> 206 2026 AP -</v>
      </c>
      <c r="AJ84" s="3" t="s">
        <v>126</v>
      </c>
      <c r="AK84" s="3" t="s">
        <v>48</v>
      </c>
      <c r="AM84" s="3" t="s">
        <v>123</v>
      </c>
    </row>
    <row r="85" ht="15.75" customHeight="1">
      <c r="A85" s="3" t="s">
        <v>39</v>
      </c>
      <c r="B85" s="4" t="str">
        <f>HYPERLINK("https://www.senado.gob.ar/parlamentario/comisiones/verExp/149.26/PE/AC","149")</f>
        <v>149</v>
      </c>
      <c r="C85" s="4" t="str">
        <f>HYPERLINK("https://www.senado.gob.ar/parlamentario/comisiones/verExp/149.26/PE/AC","2026")</f>
        <v>2026</v>
      </c>
      <c r="D85" s="3" t="s">
        <v>40</v>
      </c>
      <c r="E85" s="5" t="s">
        <v>171</v>
      </c>
      <c r="F85" s="3" t="s">
        <v>163</v>
      </c>
      <c r="I85" s="3" t="s">
        <v>164</v>
      </c>
      <c r="K85" s="3" t="s">
        <v>153</v>
      </c>
      <c r="L85" s="3" t="s">
        <v>164</v>
      </c>
      <c r="O85" s="3">
        <v>71.0</v>
      </c>
      <c r="P85" s="3" t="s">
        <v>45</v>
      </c>
      <c r="Q85" s="3" t="s">
        <v>165</v>
      </c>
      <c r="R85" s="3" t="s">
        <v>154</v>
      </c>
      <c r="AI85" s="4" t="str">
        <f>HYPERLINK("https://www.senado.gob.ar/parlamentario/parlamentaria/ordenDelDiaResultadoLink/2026/266"," 266 2026 PE -")</f>
        <v> 266 2026 PE -</v>
      </c>
      <c r="AJ85" s="3" t="s">
        <v>47</v>
      </c>
      <c r="AK85" s="3" t="s">
        <v>48</v>
      </c>
    </row>
    <row r="86" ht="15.75" customHeight="1">
      <c r="A86" s="3" t="s">
        <v>39</v>
      </c>
      <c r="B86" s="4" t="str">
        <f>HYPERLINK("https://www.senado.gob.ar/parlamentario/comisiones/verExp/148.26/PE/AC","148")</f>
        <v>148</v>
      </c>
      <c r="C86" s="4" t="str">
        <f>HYPERLINK("https://www.senado.gob.ar/parlamentario/comisiones/verExp/148.26/PE/AC","2026")</f>
        <v>2026</v>
      </c>
      <c r="D86" s="3" t="s">
        <v>40</v>
      </c>
      <c r="E86" s="5" t="s">
        <v>172</v>
      </c>
      <c r="F86" s="3" t="s">
        <v>163</v>
      </c>
      <c r="H86" s="3" t="s">
        <v>123</v>
      </c>
      <c r="I86" s="3" t="s">
        <v>164</v>
      </c>
      <c r="K86" s="3" t="s">
        <v>124</v>
      </c>
      <c r="L86" s="3" t="s">
        <v>164</v>
      </c>
      <c r="O86" s="3">
        <v>71.0</v>
      </c>
      <c r="P86" s="3" t="s">
        <v>45</v>
      </c>
      <c r="Q86" s="3" t="s">
        <v>165</v>
      </c>
      <c r="R86" s="3" t="s">
        <v>125</v>
      </c>
      <c r="AI86" s="4" t="str">
        <f>HYPERLINK("https://www.senado.gob.ar/parlamentario/parlamentaria/ordenDelDiaResultadoLink/2026/205"," 205 2026 AP -")</f>
        <v> 205 2026 AP -</v>
      </c>
      <c r="AJ86" s="3" t="s">
        <v>126</v>
      </c>
      <c r="AK86" s="3" t="s">
        <v>48</v>
      </c>
      <c r="AM86" s="3" t="s">
        <v>123</v>
      </c>
    </row>
    <row r="87" ht="15.75" customHeight="1">
      <c r="A87" s="3" t="s">
        <v>39</v>
      </c>
      <c r="B87" s="4" t="str">
        <f>HYPERLINK("https://www.senado.gob.ar/parlamentario/comisiones/verExp/147.26/PE/AC","147")</f>
        <v>147</v>
      </c>
      <c r="C87" s="4" t="str">
        <f>HYPERLINK("https://www.senado.gob.ar/parlamentario/comisiones/verExp/147.26/PE/AC","2026")</f>
        <v>2026</v>
      </c>
      <c r="D87" s="3" t="s">
        <v>40</v>
      </c>
      <c r="E87" s="5" t="s">
        <v>173</v>
      </c>
      <c r="F87" s="3" t="s">
        <v>174</v>
      </c>
      <c r="H87" s="3" t="s">
        <v>123</v>
      </c>
      <c r="I87" s="3" t="s">
        <v>175</v>
      </c>
      <c r="K87" s="3" t="s">
        <v>124</v>
      </c>
      <c r="L87" s="3" t="s">
        <v>175</v>
      </c>
      <c r="O87" s="3">
        <v>71.0</v>
      </c>
      <c r="P87" s="3" t="s">
        <v>45</v>
      </c>
      <c r="Q87" s="3" t="s">
        <v>176</v>
      </c>
      <c r="R87" s="3" t="s">
        <v>125</v>
      </c>
      <c r="AI87" s="4" t="str">
        <f>HYPERLINK("https://www.senado.gob.ar/parlamentario/parlamentaria/ordenDelDiaResultadoLink/2026/204"," 204 2026 AP -")</f>
        <v> 204 2026 AP -</v>
      </c>
      <c r="AJ87" s="3" t="s">
        <v>126</v>
      </c>
      <c r="AK87" s="3" t="s">
        <v>48</v>
      </c>
      <c r="AM87" s="3" t="s">
        <v>123</v>
      </c>
    </row>
    <row r="88" ht="15.75" customHeight="1">
      <c r="A88" s="3" t="s">
        <v>39</v>
      </c>
      <c r="B88" s="4" t="str">
        <f>HYPERLINK("https://www.senado.gob.ar/parlamentario/comisiones/verExp/146.26/PE/AC","146")</f>
        <v>146</v>
      </c>
      <c r="C88" s="4" t="str">
        <f>HYPERLINK("https://www.senado.gob.ar/parlamentario/comisiones/verExp/146.26/PE/AC","2026")</f>
        <v>2026</v>
      </c>
      <c r="D88" s="3" t="s">
        <v>40</v>
      </c>
      <c r="E88" s="5" t="s">
        <v>177</v>
      </c>
      <c r="F88" s="3" t="s">
        <v>174</v>
      </c>
      <c r="H88" s="3" t="s">
        <v>123</v>
      </c>
      <c r="I88" s="3" t="s">
        <v>175</v>
      </c>
      <c r="K88" s="3" t="s">
        <v>124</v>
      </c>
      <c r="L88" s="3" t="s">
        <v>175</v>
      </c>
      <c r="O88" s="3">
        <v>71.0</v>
      </c>
      <c r="P88" s="3" t="s">
        <v>45</v>
      </c>
      <c r="Q88" s="3" t="s">
        <v>176</v>
      </c>
      <c r="R88" s="3" t="s">
        <v>125</v>
      </c>
      <c r="AI88" s="4" t="str">
        <f>HYPERLINK("https://www.senado.gob.ar/parlamentario/parlamentaria/ordenDelDiaResultadoLink/2026/203"," 203 2026 AP -")</f>
        <v> 203 2026 AP -</v>
      </c>
      <c r="AJ88" s="3" t="s">
        <v>126</v>
      </c>
      <c r="AK88" s="3" t="s">
        <v>48</v>
      </c>
      <c r="AM88" s="3" t="s">
        <v>123</v>
      </c>
    </row>
    <row r="89" ht="15.75" customHeight="1">
      <c r="A89" s="3" t="s">
        <v>39</v>
      </c>
      <c r="B89" s="4" t="str">
        <f>HYPERLINK("https://www.senado.gob.ar/parlamentario/comisiones/verExp/145.26/PE/AC","145")</f>
        <v>145</v>
      </c>
      <c r="C89" s="4" t="str">
        <f>HYPERLINK("https://www.senado.gob.ar/parlamentario/comisiones/verExp/145.26/PE/AC","2026")</f>
        <v>2026</v>
      </c>
      <c r="D89" s="3" t="s">
        <v>40</v>
      </c>
      <c r="E89" s="5" t="s">
        <v>178</v>
      </c>
      <c r="F89" s="3" t="s">
        <v>174</v>
      </c>
      <c r="H89" s="3" t="s">
        <v>123</v>
      </c>
      <c r="I89" s="3" t="s">
        <v>175</v>
      </c>
      <c r="K89" s="3" t="s">
        <v>124</v>
      </c>
      <c r="L89" s="3" t="s">
        <v>175</v>
      </c>
      <c r="O89" s="3">
        <v>71.0</v>
      </c>
      <c r="P89" s="3" t="s">
        <v>45</v>
      </c>
      <c r="Q89" s="3" t="s">
        <v>176</v>
      </c>
      <c r="R89" s="3" t="s">
        <v>125</v>
      </c>
      <c r="AI89" s="4" t="str">
        <f>HYPERLINK("https://www.senado.gob.ar/parlamentario/parlamentaria/ordenDelDiaResultadoLink/2026/202"," 202 2026 AP -")</f>
        <v> 202 2026 AP -</v>
      </c>
      <c r="AJ89" s="3" t="s">
        <v>126</v>
      </c>
      <c r="AK89" s="3" t="s">
        <v>48</v>
      </c>
      <c r="AM89" s="3" t="s">
        <v>123</v>
      </c>
    </row>
    <row r="90" ht="15.75" customHeight="1">
      <c r="A90" s="3" t="s">
        <v>39</v>
      </c>
      <c r="B90" s="4" t="str">
        <f>HYPERLINK("https://www.senado.gob.ar/parlamentario/comisiones/verExp/144.26/PE/AC","144")</f>
        <v>144</v>
      </c>
      <c r="C90" s="4" t="str">
        <f>HYPERLINK("https://www.senado.gob.ar/parlamentario/comisiones/verExp/144.26/PE/AC","2026")</f>
        <v>2026</v>
      </c>
      <c r="D90" s="3" t="s">
        <v>40</v>
      </c>
      <c r="E90" s="5" t="s">
        <v>179</v>
      </c>
      <c r="F90" s="3" t="s">
        <v>174</v>
      </c>
      <c r="H90" s="3" t="s">
        <v>123</v>
      </c>
      <c r="I90" s="3" t="s">
        <v>175</v>
      </c>
      <c r="K90" s="3" t="s">
        <v>124</v>
      </c>
      <c r="L90" s="3" t="s">
        <v>175</v>
      </c>
      <c r="O90" s="3">
        <v>71.0</v>
      </c>
      <c r="P90" s="3" t="s">
        <v>45</v>
      </c>
      <c r="Q90" s="3" t="s">
        <v>176</v>
      </c>
      <c r="R90" s="3" t="s">
        <v>125</v>
      </c>
      <c r="AI90" s="4" t="str">
        <f>HYPERLINK("https://www.senado.gob.ar/parlamentario/parlamentaria/ordenDelDiaResultadoLink/2026/201"," 201 2026 AP -")</f>
        <v> 201 2026 AP -</v>
      </c>
      <c r="AJ90" s="3" t="s">
        <v>126</v>
      </c>
      <c r="AK90" s="3" t="s">
        <v>48</v>
      </c>
      <c r="AM90" s="3" t="s">
        <v>123</v>
      </c>
    </row>
    <row r="91" ht="15.75" customHeight="1">
      <c r="A91" s="3" t="s">
        <v>39</v>
      </c>
      <c r="B91" s="4" t="str">
        <f>HYPERLINK("https://www.senado.gob.ar/parlamentario/comisiones/verExp/143.26/PE/AC","143")</f>
        <v>143</v>
      </c>
      <c r="C91" s="4" t="str">
        <f>HYPERLINK("https://www.senado.gob.ar/parlamentario/comisiones/verExp/143.26/PE/AC","2026")</f>
        <v>2026</v>
      </c>
      <c r="D91" s="3" t="s">
        <v>40</v>
      </c>
      <c r="E91" s="5" t="s">
        <v>180</v>
      </c>
      <c r="F91" s="3" t="s">
        <v>174</v>
      </c>
      <c r="H91" s="3" t="s">
        <v>123</v>
      </c>
      <c r="I91" s="3" t="s">
        <v>175</v>
      </c>
      <c r="K91" s="3" t="s">
        <v>124</v>
      </c>
      <c r="L91" s="3" t="s">
        <v>175</v>
      </c>
      <c r="O91" s="3">
        <v>71.0</v>
      </c>
      <c r="P91" s="3" t="s">
        <v>45</v>
      </c>
      <c r="Q91" s="3" t="s">
        <v>176</v>
      </c>
      <c r="R91" s="3" t="s">
        <v>125</v>
      </c>
      <c r="AI91" s="4" t="str">
        <f>HYPERLINK("https://www.senado.gob.ar/parlamentario/parlamentaria/ordenDelDiaResultadoLink/2026/200"," 200 2026 AP -")</f>
        <v> 200 2026 AP -</v>
      </c>
      <c r="AJ91" s="3" t="s">
        <v>126</v>
      </c>
      <c r="AK91" s="3" t="s">
        <v>48</v>
      </c>
      <c r="AM91" s="3" t="s">
        <v>123</v>
      </c>
    </row>
    <row r="92" ht="15.75" customHeight="1">
      <c r="A92" s="3" t="s">
        <v>39</v>
      </c>
      <c r="B92" s="4" t="str">
        <f>HYPERLINK("https://www.senado.gob.ar/parlamentario/comisiones/verExp/142.26/PE/AC","142")</f>
        <v>142</v>
      </c>
      <c r="C92" s="4" t="str">
        <f>HYPERLINK("https://www.senado.gob.ar/parlamentario/comisiones/verExp/142.26/PE/AC","2026")</f>
        <v>2026</v>
      </c>
      <c r="D92" s="3" t="s">
        <v>40</v>
      </c>
      <c r="E92" s="5" t="s">
        <v>181</v>
      </c>
      <c r="F92" s="3" t="s">
        <v>174</v>
      </c>
      <c r="H92" s="3" t="s">
        <v>123</v>
      </c>
      <c r="I92" s="3" t="s">
        <v>175</v>
      </c>
      <c r="K92" s="3" t="s">
        <v>182</v>
      </c>
      <c r="L92" s="3" t="s">
        <v>175</v>
      </c>
      <c r="O92" s="3">
        <v>71.0</v>
      </c>
      <c r="P92" s="3" t="s">
        <v>45</v>
      </c>
      <c r="Q92" s="3" t="s">
        <v>176</v>
      </c>
      <c r="R92" s="3" t="s">
        <v>183</v>
      </c>
      <c r="AI92" s="4" t="str">
        <f>HYPERLINK("https://www.senado.gob.ar/parlamentario/parlamentaria/ordenDelDiaResultadoLink/2026/129"," 129 2026 AP -")</f>
        <v> 129 2026 AP -</v>
      </c>
      <c r="AJ92" s="3" t="s">
        <v>126</v>
      </c>
      <c r="AK92" s="3" t="s">
        <v>48</v>
      </c>
      <c r="AM92" s="3" t="s">
        <v>123</v>
      </c>
    </row>
    <row r="93" ht="15.75" customHeight="1">
      <c r="A93" s="3" t="s">
        <v>39</v>
      </c>
      <c r="B93" s="4" t="str">
        <f>HYPERLINK("https://www.senado.gob.ar/parlamentario/comisiones/verExp/141.26/PE/AC","141")</f>
        <v>141</v>
      </c>
      <c r="C93" s="4" t="str">
        <f>HYPERLINK("https://www.senado.gob.ar/parlamentario/comisiones/verExp/141.26/PE/AC","2026")</f>
        <v>2026</v>
      </c>
      <c r="D93" s="3" t="s">
        <v>40</v>
      </c>
      <c r="E93" s="5" t="s">
        <v>184</v>
      </c>
      <c r="F93" s="3" t="s">
        <v>174</v>
      </c>
      <c r="H93" s="3" t="s">
        <v>123</v>
      </c>
      <c r="I93" s="3" t="s">
        <v>175</v>
      </c>
      <c r="K93" s="3" t="s">
        <v>182</v>
      </c>
      <c r="L93" s="3" t="s">
        <v>175</v>
      </c>
      <c r="O93" s="3">
        <v>71.0</v>
      </c>
      <c r="P93" s="3" t="s">
        <v>45</v>
      </c>
      <c r="Q93" s="3" t="s">
        <v>176</v>
      </c>
      <c r="R93" s="3" t="s">
        <v>183</v>
      </c>
      <c r="AI93" s="4" t="str">
        <f>HYPERLINK("https://www.senado.gob.ar/parlamentario/parlamentaria/ordenDelDiaResultadoLink/2026/128"," 128 2026 AP -")</f>
        <v> 128 2026 AP -</v>
      </c>
      <c r="AJ93" s="3" t="s">
        <v>126</v>
      </c>
      <c r="AK93" s="3" t="s">
        <v>48</v>
      </c>
      <c r="AM93" s="3" t="s">
        <v>123</v>
      </c>
    </row>
    <row r="94" ht="15.75" customHeight="1">
      <c r="A94" s="3" t="s">
        <v>39</v>
      </c>
      <c r="B94" s="4" t="str">
        <f>HYPERLINK("https://www.senado.gob.ar/parlamentario/comisiones/verExp/140.26/PE/AC","140")</f>
        <v>140</v>
      </c>
      <c r="C94" s="4" t="str">
        <f>HYPERLINK("https://www.senado.gob.ar/parlamentario/comisiones/verExp/140.26/PE/AC","2026")</f>
        <v>2026</v>
      </c>
      <c r="D94" s="3" t="s">
        <v>40</v>
      </c>
      <c r="E94" s="5" t="s">
        <v>185</v>
      </c>
      <c r="F94" s="3" t="s">
        <v>174</v>
      </c>
      <c r="H94" s="3" t="s">
        <v>123</v>
      </c>
      <c r="I94" s="3" t="s">
        <v>175</v>
      </c>
      <c r="K94" s="3" t="s">
        <v>182</v>
      </c>
      <c r="L94" s="3" t="s">
        <v>175</v>
      </c>
      <c r="O94" s="3">
        <v>71.0</v>
      </c>
      <c r="P94" s="3" t="s">
        <v>45</v>
      </c>
      <c r="Q94" s="3" t="s">
        <v>176</v>
      </c>
      <c r="R94" s="3" t="s">
        <v>183</v>
      </c>
      <c r="AI94" s="4" t="str">
        <f>HYPERLINK("https://www.senado.gob.ar/parlamentario/parlamentaria/ordenDelDiaResultadoLink/2026/127"," 127 2026 AP -")</f>
        <v> 127 2026 AP -</v>
      </c>
      <c r="AJ94" s="3" t="s">
        <v>126</v>
      </c>
      <c r="AK94" s="3" t="s">
        <v>48</v>
      </c>
      <c r="AM94" s="3" t="s">
        <v>123</v>
      </c>
    </row>
    <row r="95" ht="15.75" customHeight="1">
      <c r="A95" s="3" t="s">
        <v>39</v>
      </c>
      <c r="B95" s="4" t="str">
        <f>HYPERLINK("https://www.senado.gob.ar/parlamentario/comisiones/verExp/139.26/PE/AC","139")</f>
        <v>139</v>
      </c>
      <c r="C95" s="4" t="str">
        <f>HYPERLINK("https://www.senado.gob.ar/parlamentario/comisiones/verExp/139.26/PE/AC","2026")</f>
        <v>2026</v>
      </c>
      <c r="D95" s="3" t="s">
        <v>40</v>
      </c>
      <c r="E95" s="5" t="s">
        <v>186</v>
      </c>
      <c r="F95" s="3" t="s">
        <v>174</v>
      </c>
      <c r="H95" s="3" t="s">
        <v>123</v>
      </c>
      <c r="I95" s="3" t="s">
        <v>175</v>
      </c>
      <c r="K95" s="3" t="s">
        <v>182</v>
      </c>
      <c r="L95" s="3" t="s">
        <v>175</v>
      </c>
      <c r="O95" s="3">
        <v>71.0</v>
      </c>
      <c r="P95" s="3" t="s">
        <v>45</v>
      </c>
      <c r="Q95" s="3" t="s">
        <v>176</v>
      </c>
      <c r="R95" s="3" t="s">
        <v>183</v>
      </c>
      <c r="AI95" s="4" t="str">
        <f>HYPERLINK("https://www.senado.gob.ar/parlamentario/parlamentaria/ordenDelDiaResultadoLink/2026/126"," 126 2026 AP -")</f>
        <v> 126 2026 AP -</v>
      </c>
      <c r="AJ95" s="3" t="s">
        <v>126</v>
      </c>
      <c r="AK95" s="3" t="s">
        <v>48</v>
      </c>
      <c r="AM95" s="3" t="s">
        <v>123</v>
      </c>
    </row>
    <row r="96" ht="15.75" customHeight="1">
      <c r="A96" s="3" t="s">
        <v>39</v>
      </c>
      <c r="B96" s="4" t="str">
        <f>HYPERLINK("https://www.senado.gob.ar/parlamentario/comisiones/verExp/138.26/PE/AC","138")</f>
        <v>138</v>
      </c>
      <c r="C96" s="4" t="str">
        <f>HYPERLINK("https://www.senado.gob.ar/parlamentario/comisiones/verExp/138.26/PE/AC","2026")</f>
        <v>2026</v>
      </c>
      <c r="D96" s="3" t="s">
        <v>40</v>
      </c>
      <c r="E96" s="5" t="s">
        <v>187</v>
      </c>
      <c r="F96" s="3" t="s">
        <v>174</v>
      </c>
      <c r="H96" s="3" t="s">
        <v>123</v>
      </c>
      <c r="I96" s="3" t="s">
        <v>175</v>
      </c>
      <c r="K96" s="3" t="s">
        <v>182</v>
      </c>
      <c r="L96" s="3" t="s">
        <v>175</v>
      </c>
      <c r="O96" s="3">
        <v>71.0</v>
      </c>
      <c r="P96" s="3" t="s">
        <v>45</v>
      </c>
      <c r="Q96" s="3" t="s">
        <v>176</v>
      </c>
      <c r="R96" s="3" t="s">
        <v>183</v>
      </c>
      <c r="AI96" s="4" t="str">
        <f>HYPERLINK("https://www.senado.gob.ar/parlamentario/parlamentaria/ordenDelDiaResultadoLink/2026/125"," 125 2026 AP -")</f>
        <v> 125 2026 AP -</v>
      </c>
      <c r="AJ96" s="3" t="s">
        <v>126</v>
      </c>
      <c r="AK96" s="3" t="s">
        <v>48</v>
      </c>
      <c r="AM96" s="3" t="s">
        <v>123</v>
      </c>
    </row>
    <row r="97" ht="15.75" customHeight="1">
      <c r="A97" s="3" t="s">
        <v>39</v>
      </c>
      <c r="B97" s="4" t="str">
        <f>HYPERLINK("https://www.senado.gob.ar/parlamentario/comisiones/verExp/137.26/PE/AC","137")</f>
        <v>137</v>
      </c>
      <c r="C97" s="4" t="str">
        <f>HYPERLINK("https://www.senado.gob.ar/parlamentario/comisiones/verExp/137.26/PE/AC","2026")</f>
        <v>2026</v>
      </c>
      <c r="D97" s="3" t="s">
        <v>40</v>
      </c>
      <c r="E97" s="5" t="s">
        <v>188</v>
      </c>
      <c r="F97" s="3" t="s">
        <v>174</v>
      </c>
      <c r="H97" s="3" t="s">
        <v>123</v>
      </c>
      <c r="I97" s="3" t="s">
        <v>175</v>
      </c>
      <c r="K97" s="3" t="s">
        <v>182</v>
      </c>
      <c r="L97" s="3" t="s">
        <v>175</v>
      </c>
      <c r="O97" s="3">
        <v>71.0</v>
      </c>
      <c r="P97" s="3" t="s">
        <v>45</v>
      </c>
      <c r="Q97" s="3" t="s">
        <v>176</v>
      </c>
      <c r="R97" s="3" t="s">
        <v>183</v>
      </c>
      <c r="AI97" s="4" t="str">
        <f>HYPERLINK("https://www.senado.gob.ar/parlamentario/parlamentaria/ordenDelDiaResultadoLink/2026/124"," 124 2026 AP -")</f>
        <v> 124 2026 AP -</v>
      </c>
      <c r="AJ97" s="3" t="s">
        <v>126</v>
      </c>
      <c r="AK97" s="3" t="s">
        <v>48</v>
      </c>
      <c r="AM97" s="3" t="s">
        <v>123</v>
      </c>
    </row>
    <row r="98" ht="15.75" customHeight="1">
      <c r="A98" s="3" t="s">
        <v>39</v>
      </c>
      <c r="B98" s="4" t="str">
        <f>HYPERLINK("https://www.senado.gob.ar/parlamentario/comisiones/verExp/136.26/PE/AC","136")</f>
        <v>136</v>
      </c>
      <c r="C98" s="4" t="str">
        <f>HYPERLINK("https://www.senado.gob.ar/parlamentario/comisiones/verExp/136.26/PE/AC","2026")</f>
        <v>2026</v>
      </c>
      <c r="D98" s="3" t="s">
        <v>40</v>
      </c>
      <c r="E98" s="5" t="s">
        <v>189</v>
      </c>
      <c r="F98" s="3" t="s">
        <v>190</v>
      </c>
      <c r="H98" s="3" t="s">
        <v>123</v>
      </c>
      <c r="I98" s="3" t="s">
        <v>175</v>
      </c>
      <c r="K98" s="3" t="s">
        <v>182</v>
      </c>
      <c r="L98" s="3" t="s">
        <v>175</v>
      </c>
      <c r="O98" s="3">
        <v>71.0</v>
      </c>
      <c r="P98" s="3" t="s">
        <v>45</v>
      </c>
      <c r="Q98" s="3" t="s">
        <v>176</v>
      </c>
      <c r="R98" s="3" t="s">
        <v>183</v>
      </c>
      <c r="AI98" s="4" t="str">
        <f>HYPERLINK("https://www.senado.gob.ar/parlamentario/parlamentaria/ordenDelDiaResultadoLink/2026/123"," 123 2026 AP -")</f>
        <v> 123 2026 AP -</v>
      </c>
      <c r="AJ98" s="3" t="s">
        <v>126</v>
      </c>
      <c r="AK98" s="3" t="s">
        <v>48</v>
      </c>
      <c r="AM98" s="3" t="s">
        <v>123</v>
      </c>
    </row>
    <row r="99" ht="15.75" customHeight="1">
      <c r="A99" s="3" t="s">
        <v>39</v>
      </c>
      <c r="B99" s="4" t="str">
        <f>HYPERLINK("https://www.senado.gob.ar/parlamentario/comisiones/verExp/128.26/PE/AC","128")</f>
        <v>128</v>
      </c>
      <c r="C99" s="4" t="str">
        <f>HYPERLINK("https://www.senado.gob.ar/parlamentario/comisiones/verExp/128.26/PE/AC","2026")</f>
        <v>2026</v>
      </c>
      <c r="D99" s="3" t="s">
        <v>40</v>
      </c>
      <c r="E99" s="5" t="s">
        <v>191</v>
      </c>
      <c r="F99" s="3" t="s">
        <v>192</v>
      </c>
      <c r="H99" s="3" t="s">
        <v>123</v>
      </c>
      <c r="I99" s="3" t="s">
        <v>193</v>
      </c>
      <c r="K99" s="3" t="s">
        <v>124</v>
      </c>
      <c r="L99" s="3" t="s">
        <v>193</v>
      </c>
      <c r="O99" s="3">
        <v>71.0</v>
      </c>
      <c r="P99" s="3" t="s">
        <v>45</v>
      </c>
      <c r="Q99" s="3" t="s">
        <v>194</v>
      </c>
      <c r="R99" s="3" t="s">
        <v>125</v>
      </c>
      <c r="AI99" s="4" t="str">
        <f>HYPERLINK("https://www.senado.gob.ar/parlamentario/parlamentaria/ordenDelDiaResultadoLink/2026/199"," 199 2026 AP -")</f>
        <v> 199 2026 AP -</v>
      </c>
      <c r="AJ99" s="3" t="s">
        <v>126</v>
      </c>
      <c r="AK99" s="3" t="s">
        <v>48</v>
      </c>
      <c r="AM99" s="3" t="s">
        <v>123</v>
      </c>
    </row>
    <row r="100" ht="15.75" customHeight="1">
      <c r="A100" s="3" t="s">
        <v>39</v>
      </c>
      <c r="B100" s="4" t="str">
        <f>HYPERLINK("https://www.senado.gob.ar/parlamentario/comisiones/verExp/127.26/PE/AC","127")</f>
        <v>127</v>
      </c>
      <c r="C100" s="4" t="str">
        <f>HYPERLINK("https://www.senado.gob.ar/parlamentario/comisiones/verExp/127.26/PE/AC","2026")</f>
        <v>2026</v>
      </c>
      <c r="D100" s="3" t="s">
        <v>40</v>
      </c>
      <c r="E100" s="5" t="s">
        <v>195</v>
      </c>
      <c r="F100" s="3" t="s">
        <v>192</v>
      </c>
      <c r="I100" s="3" t="s">
        <v>193</v>
      </c>
      <c r="K100" s="3" t="s">
        <v>43</v>
      </c>
      <c r="L100" s="3" t="s">
        <v>193</v>
      </c>
      <c r="O100" s="3">
        <v>71.0</v>
      </c>
      <c r="P100" s="3" t="s">
        <v>45</v>
      </c>
      <c r="Q100" s="3" t="s">
        <v>194</v>
      </c>
      <c r="R100" s="3" t="s">
        <v>46</v>
      </c>
      <c r="AI100" s="4" t="str">
        <f>HYPERLINK("https://www.senado.gob.ar/parlamentario/parlamentaria/ordenDelDiaResultadoLink/2026/249"," 249 2026 PE -")</f>
        <v> 249 2026 PE -</v>
      </c>
      <c r="AJ100" s="3" t="s">
        <v>47</v>
      </c>
      <c r="AK100" s="3" t="s">
        <v>48</v>
      </c>
    </row>
    <row r="101" ht="15.75" customHeight="1">
      <c r="A101" s="3" t="s">
        <v>39</v>
      </c>
      <c r="B101" s="4" t="str">
        <f>HYPERLINK("https://www.senado.gob.ar/parlamentario/comisiones/verExp/126.26/PE/AC","126")</f>
        <v>126</v>
      </c>
      <c r="C101" s="4" t="str">
        <f>HYPERLINK("https://www.senado.gob.ar/parlamentario/comisiones/verExp/126.26/PE/AC","2026")</f>
        <v>2026</v>
      </c>
      <c r="D101" s="3" t="s">
        <v>40</v>
      </c>
      <c r="E101" s="5" t="s">
        <v>196</v>
      </c>
      <c r="F101" s="3" t="s">
        <v>192</v>
      </c>
      <c r="I101" s="3" t="s">
        <v>193</v>
      </c>
      <c r="K101" s="3" t="s">
        <v>43</v>
      </c>
      <c r="L101" s="3" t="s">
        <v>193</v>
      </c>
      <c r="O101" s="3">
        <v>71.0</v>
      </c>
      <c r="P101" s="3" t="s">
        <v>45</v>
      </c>
      <c r="Q101" s="3" t="s">
        <v>194</v>
      </c>
      <c r="R101" s="3" t="s">
        <v>46</v>
      </c>
      <c r="AI101" s="4" t="str">
        <f>HYPERLINK("https://www.senado.gob.ar/parlamentario/parlamentaria/ordenDelDiaResultadoLink/2026/248"," 248 2026 PE -")</f>
        <v> 248 2026 PE -</v>
      </c>
      <c r="AJ101" s="3" t="s">
        <v>47</v>
      </c>
      <c r="AK101" s="3" t="s">
        <v>48</v>
      </c>
    </row>
    <row r="102" ht="15.75" customHeight="1">
      <c r="A102" s="3" t="s">
        <v>39</v>
      </c>
      <c r="B102" s="4" t="str">
        <f>HYPERLINK("https://www.senado.gob.ar/parlamentario/comisiones/verExp/125.26/PE/AC","125")</f>
        <v>125</v>
      </c>
      <c r="C102" s="4" t="str">
        <f>HYPERLINK("https://www.senado.gob.ar/parlamentario/comisiones/verExp/125.26/PE/AC","2026")</f>
        <v>2026</v>
      </c>
      <c r="D102" s="3" t="s">
        <v>40</v>
      </c>
      <c r="E102" s="5" t="s">
        <v>197</v>
      </c>
      <c r="F102" s="3" t="s">
        <v>192</v>
      </c>
      <c r="I102" s="3" t="s">
        <v>193</v>
      </c>
      <c r="K102" s="3" t="s">
        <v>44</v>
      </c>
      <c r="L102" s="3" t="s">
        <v>193</v>
      </c>
      <c r="O102" s="3">
        <v>71.0</v>
      </c>
      <c r="P102" s="3" t="s">
        <v>45</v>
      </c>
      <c r="Q102" s="3" t="s">
        <v>194</v>
      </c>
      <c r="AI102" s="3" t="str">
        <f>HYPERLINK("","")</f>
        <v/>
      </c>
      <c r="AJ102" s="3" t="s">
        <v>47</v>
      </c>
      <c r="AK102" s="3" t="s">
        <v>48</v>
      </c>
    </row>
    <row r="103" ht="15.75" customHeight="1">
      <c r="A103" s="3" t="s">
        <v>39</v>
      </c>
      <c r="B103" s="4" t="str">
        <f>HYPERLINK("https://www.senado.gob.ar/parlamentario/comisiones/verExp/124.26/PE/AC","124")</f>
        <v>124</v>
      </c>
      <c r="C103" s="4" t="str">
        <f>HYPERLINK("https://www.senado.gob.ar/parlamentario/comisiones/verExp/124.26/PE/AC","2026")</f>
        <v>2026</v>
      </c>
      <c r="D103" s="3" t="s">
        <v>40</v>
      </c>
      <c r="E103" s="5" t="s">
        <v>198</v>
      </c>
      <c r="F103" s="3" t="s">
        <v>192</v>
      </c>
      <c r="I103" s="3" t="s">
        <v>193</v>
      </c>
      <c r="K103" s="3" t="s">
        <v>153</v>
      </c>
      <c r="L103" s="3" t="s">
        <v>193</v>
      </c>
      <c r="O103" s="3">
        <v>71.0</v>
      </c>
      <c r="P103" s="3" t="s">
        <v>45</v>
      </c>
      <c r="Q103" s="3" t="s">
        <v>194</v>
      </c>
      <c r="R103" s="3" t="s">
        <v>154</v>
      </c>
      <c r="AI103" s="4" t="str">
        <f>HYPERLINK("https://www.senado.gob.ar/parlamentario/parlamentaria/ordenDelDiaResultadoLink/2026/265"," 265 2026 PE -")</f>
        <v> 265 2026 PE -</v>
      </c>
      <c r="AJ103" s="3" t="s">
        <v>47</v>
      </c>
      <c r="AK103" s="3" t="s">
        <v>48</v>
      </c>
    </row>
    <row r="104" ht="15.75" customHeight="1">
      <c r="A104" s="3" t="s">
        <v>39</v>
      </c>
      <c r="B104" s="4" t="str">
        <f>HYPERLINK("https://www.senado.gob.ar/parlamentario/comisiones/verExp/123.26/PE/AC","123")</f>
        <v>123</v>
      </c>
      <c r="C104" s="4" t="str">
        <f>HYPERLINK("https://www.senado.gob.ar/parlamentario/comisiones/verExp/123.26/PE/AC","2026")</f>
        <v>2026</v>
      </c>
      <c r="D104" s="3" t="s">
        <v>40</v>
      </c>
      <c r="E104" s="5" t="s">
        <v>199</v>
      </c>
      <c r="F104" s="3" t="s">
        <v>192</v>
      </c>
      <c r="I104" s="3" t="s">
        <v>193</v>
      </c>
      <c r="K104" s="3" t="s">
        <v>153</v>
      </c>
      <c r="L104" s="3" t="s">
        <v>193</v>
      </c>
      <c r="O104" s="3">
        <v>71.0</v>
      </c>
      <c r="P104" s="3" t="s">
        <v>45</v>
      </c>
      <c r="Q104" s="3" t="s">
        <v>194</v>
      </c>
      <c r="R104" s="3" t="s">
        <v>154</v>
      </c>
      <c r="AI104" s="4" t="str">
        <f>HYPERLINK("https://www.senado.gob.ar/parlamentario/parlamentaria/ordenDelDiaResultadoLink/2026/264"," 264 2026 PE -")</f>
        <v> 264 2026 PE -</v>
      </c>
      <c r="AJ104" s="3" t="s">
        <v>47</v>
      </c>
      <c r="AK104" s="3" t="s">
        <v>48</v>
      </c>
    </row>
    <row r="105" ht="15.75" customHeight="1">
      <c r="A105" s="3" t="s">
        <v>39</v>
      </c>
      <c r="B105" s="4" t="str">
        <f>HYPERLINK("https://www.senado.gob.ar/parlamentario/comisiones/verExp/122.26/PE/AC","122")</f>
        <v>122</v>
      </c>
      <c r="C105" s="4" t="str">
        <f>HYPERLINK("https://www.senado.gob.ar/parlamentario/comisiones/verExp/122.26/PE/AC","2026")</f>
        <v>2026</v>
      </c>
      <c r="D105" s="3" t="s">
        <v>40</v>
      </c>
      <c r="E105" s="5" t="s">
        <v>200</v>
      </c>
      <c r="F105" s="3" t="s">
        <v>192</v>
      </c>
      <c r="I105" s="3" t="s">
        <v>193</v>
      </c>
      <c r="K105" s="3" t="s">
        <v>153</v>
      </c>
      <c r="L105" s="3" t="s">
        <v>193</v>
      </c>
      <c r="O105" s="3">
        <v>71.0</v>
      </c>
      <c r="P105" s="3" t="s">
        <v>45</v>
      </c>
      <c r="Q105" s="3" t="s">
        <v>194</v>
      </c>
      <c r="R105" s="3" t="s">
        <v>154</v>
      </c>
      <c r="AI105" s="4" t="str">
        <f>HYPERLINK("https://www.senado.gob.ar/parlamentario/parlamentaria/ordenDelDiaResultadoLink/2026/263"," 263 2026 PE -")</f>
        <v> 263 2026 PE -</v>
      </c>
      <c r="AJ105" s="3" t="s">
        <v>47</v>
      </c>
      <c r="AK105" s="3" t="s">
        <v>48</v>
      </c>
    </row>
    <row r="106" ht="15.75" customHeight="1">
      <c r="A106" s="3" t="s">
        <v>39</v>
      </c>
      <c r="B106" s="4" t="str">
        <f>HYPERLINK("https://www.senado.gob.ar/parlamentario/comisiones/verExp/121.26/PE/AC","121")</f>
        <v>121</v>
      </c>
      <c r="C106" s="4" t="str">
        <f>HYPERLINK("https://www.senado.gob.ar/parlamentario/comisiones/verExp/121.26/PE/AC","2026")</f>
        <v>2026</v>
      </c>
      <c r="D106" s="3" t="s">
        <v>40</v>
      </c>
      <c r="E106" s="5" t="s">
        <v>201</v>
      </c>
      <c r="F106" s="3" t="s">
        <v>192</v>
      </c>
      <c r="H106" s="3" t="s">
        <v>123</v>
      </c>
      <c r="I106" s="3" t="s">
        <v>193</v>
      </c>
      <c r="K106" s="3" t="s">
        <v>124</v>
      </c>
      <c r="L106" s="3" t="s">
        <v>193</v>
      </c>
      <c r="O106" s="3">
        <v>71.0</v>
      </c>
      <c r="P106" s="3" t="s">
        <v>45</v>
      </c>
      <c r="Q106" s="3" t="s">
        <v>194</v>
      </c>
      <c r="R106" s="3" t="s">
        <v>125</v>
      </c>
      <c r="AI106" s="4" t="str">
        <f>HYPERLINK("https://www.senado.gob.ar/parlamentario/parlamentaria/ordenDelDiaResultadoLink/2026/198"," 198 2026 AP -")</f>
        <v> 198 2026 AP -</v>
      </c>
      <c r="AJ106" s="3" t="s">
        <v>126</v>
      </c>
      <c r="AK106" s="3" t="s">
        <v>48</v>
      </c>
      <c r="AM106" s="3" t="s">
        <v>123</v>
      </c>
    </row>
    <row r="107" ht="15.75" customHeight="1">
      <c r="A107" s="3" t="s">
        <v>39</v>
      </c>
      <c r="B107" s="4" t="str">
        <f>HYPERLINK("https://www.senado.gob.ar/parlamentario/comisiones/verExp/120.26/PE/AC","120")</f>
        <v>120</v>
      </c>
      <c r="C107" s="4" t="str">
        <f>HYPERLINK("https://www.senado.gob.ar/parlamentario/comisiones/verExp/120.26/PE/AC","2026")</f>
        <v>2026</v>
      </c>
      <c r="D107" s="3" t="s">
        <v>40</v>
      </c>
      <c r="E107" s="5" t="s">
        <v>202</v>
      </c>
      <c r="F107" s="3" t="s">
        <v>192</v>
      </c>
      <c r="I107" s="3" t="s">
        <v>193</v>
      </c>
      <c r="K107" s="3" t="s">
        <v>43</v>
      </c>
      <c r="L107" s="3" t="s">
        <v>193</v>
      </c>
      <c r="O107" s="3">
        <v>71.0</v>
      </c>
      <c r="P107" s="3" t="s">
        <v>45</v>
      </c>
      <c r="Q107" s="3" t="s">
        <v>194</v>
      </c>
      <c r="R107" s="3" t="s">
        <v>46</v>
      </c>
      <c r="AI107" s="4" t="str">
        <f>HYPERLINK("https://www.senado.gob.ar/parlamentario/parlamentaria/ordenDelDiaResultadoLink/2026/247"," 247 2026 PE -")</f>
        <v> 247 2026 PE -</v>
      </c>
      <c r="AJ107" s="3" t="s">
        <v>47</v>
      </c>
      <c r="AK107" s="3" t="s">
        <v>48</v>
      </c>
    </row>
    <row r="108" ht="15.75" customHeight="1">
      <c r="A108" s="3" t="s">
        <v>39</v>
      </c>
      <c r="B108" s="4" t="str">
        <f>HYPERLINK("https://www.senado.gob.ar/parlamentario/comisiones/verExp/119.26/PE/AC","119")</f>
        <v>119</v>
      </c>
      <c r="C108" s="4" t="str">
        <f>HYPERLINK("https://www.senado.gob.ar/parlamentario/comisiones/verExp/119.26/PE/AC","2026")</f>
        <v>2026</v>
      </c>
      <c r="D108" s="3" t="s">
        <v>40</v>
      </c>
      <c r="E108" s="5" t="s">
        <v>203</v>
      </c>
      <c r="F108" s="3" t="s">
        <v>192</v>
      </c>
      <c r="I108" s="3" t="s">
        <v>193</v>
      </c>
      <c r="K108" s="3" t="s">
        <v>44</v>
      </c>
      <c r="L108" s="3" t="s">
        <v>193</v>
      </c>
      <c r="O108" s="3">
        <v>71.0</v>
      </c>
      <c r="P108" s="3" t="s">
        <v>45</v>
      </c>
      <c r="Q108" s="3" t="s">
        <v>194</v>
      </c>
      <c r="AI108" s="3" t="str">
        <f t="shared" ref="AI108:AI109" si="3">HYPERLINK("","")</f>
        <v/>
      </c>
      <c r="AJ108" s="3" t="s">
        <v>47</v>
      </c>
      <c r="AK108" s="3" t="s">
        <v>48</v>
      </c>
    </row>
    <row r="109" ht="15.75" customHeight="1">
      <c r="A109" s="3" t="s">
        <v>39</v>
      </c>
      <c r="B109" s="4" t="str">
        <f>HYPERLINK("https://www.senado.gob.ar/parlamentario/comisiones/verExp/118.26/PE/AC","118")</f>
        <v>118</v>
      </c>
      <c r="C109" s="4" t="str">
        <f>HYPERLINK("https://www.senado.gob.ar/parlamentario/comisiones/verExp/118.26/PE/AC","2026")</f>
        <v>2026</v>
      </c>
      <c r="D109" s="3" t="s">
        <v>40</v>
      </c>
      <c r="E109" s="5" t="s">
        <v>204</v>
      </c>
      <c r="F109" s="3" t="s">
        <v>192</v>
      </c>
      <c r="I109" s="3" t="s">
        <v>193</v>
      </c>
      <c r="K109" s="3" t="s">
        <v>44</v>
      </c>
      <c r="L109" s="3" t="s">
        <v>193</v>
      </c>
      <c r="O109" s="3">
        <v>71.0</v>
      </c>
      <c r="P109" s="3" t="s">
        <v>45</v>
      </c>
      <c r="Q109" s="3" t="s">
        <v>194</v>
      </c>
      <c r="AI109" s="3" t="str">
        <f t="shared" si="3"/>
        <v/>
      </c>
      <c r="AJ109" s="3" t="s">
        <v>47</v>
      </c>
      <c r="AK109" s="3" t="s">
        <v>48</v>
      </c>
    </row>
    <row r="110" ht="15.75" customHeight="1">
      <c r="A110" s="3" t="s">
        <v>39</v>
      </c>
      <c r="B110" s="4" t="str">
        <f>HYPERLINK("https://www.senado.gob.ar/parlamentario/comisiones/verExp/117.26/PE/AC","117")</f>
        <v>117</v>
      </c>
      <c r="C110" s="4" t="str">
        <f>HYPERLINK("https://www.senado.gob.ar/parlamentario/comisiones/verExp/117.26/PE/AC","2026")</f>
        <v>2026</v>
      </c>
      <c r="D110" s="3" t="s">
        <v>40</v>
      </c>
      <c r="E110" s="5" t="s">
        <v>205</v>
      </c>
      <c r="F110" s="3" t="s">
        <v>192</v>
      </c>
      <c r="I110" s="3" t="s">
        <v>193</v>
      </c>
      <c r="K110" s="3" t="s">
        <v>153</v>
      </c>
      <c r="L110" s="3" t="s">
        <v>193</v>
      </c>
      <c r="O110" s="3">
        <v>71.0</v>
      </c>
      <c r="P110" s="3" t="s">
        <v>45</v>
      </c>
      <c r="Q110" s="3" t="s">
        <v>194</v>
      </c>
      <c r="R110" s="3" t="s">
        <v>154</v>
      </c>
      <c r="AI110" s="4" t="str">
        <f>HYPERLINK("https://www.senado.gob.ar/parlamentario/parlamentaria/ordenDelDiaResultadoLink/2026/262"," 262 2026 PE -")</f>
        <v> 262 2026 PE -</v>
      </c>
      <c r="AJ110" s="3" t="s">
        <v>47</v>
      </c>
      <c r="AK110" s="3" t="s">
        <v>48</v>
      </c>
    </row>
    <row r="111" ht="15.75" customHeight="1">
      <c r="A111" s="3" t="s">
        <v>39</v>
      </c>
      <c r="B111" s="4" t="str">
        <f>HYPERLINK("https://www.senado.gob.ar/parlamentario/comisiones/verExp/116.26/PE/AC","116")</f>
        <v>116</v>
      </c>
      <c r="C111" s="4" t="str">
        <f>HYPERLINK("https://www.senado.gob.ar/parlamentario/comisiones/verExp/116.26/PE/AC","2026")</f>
        <v>2026</v>
      </c>
      <c r="D111" s="3" t="s">
        <v>40</v>
      </c>
      <c r="E111" s="5" t="s">
        <v>206</v>
      </c>
      <c r="F111" s="3" t="s">
        <v>192</v>
      </c>
      <c r="I111" s="3" t="s">
        <v>193</v>
      </c>
      <c r="K111" s="3" t="s">
        <v>44</v>
      </c>
      <c r="L111" s="3" t="s">
        <v>193</v>
      </c>
      <c r="O111" s="3">
        <v>71.0</v>
      </c>
      <c r="P111" s="3" t="s">
        <v>45</v>
      </c>
      <c r="Q111" s="3" t="s">
        <v>194</v>
      </c>
      <c r="AI111" s="3" t="str">
        <f>HYPERLINK("","")</f>
        <v/>
      </c>
      <c r="AJ111" s="3" t="s">
        <v>47</v>
      </c>
      <c r="AK111" s="3" t="s">
        <v>48</v>
      </c>
    </row>
    <row r="112" ht="15.75" customHeight="1">
      <c r="A112" s="3" t="s">
        <v>39</v>
      </c>
      <c r="B112" s="4" t="str">
        <f>HYPERLINK("https://www.senado.gob.ar/parlamentario/comisiones/verExp/115.26/PE/AC","115")</f>
        <v>115</v>
      </c>
      <c r="C112" s="4" t="str">
        <f>HYPERLINK("https://www.senado.gob.ar/parlamentario/comisiones/verExp/115.26/PE/AC","2026")</f>
        <v>2026</v>
      </c>
      <c r="D112" s="3" t="s">
        <v>40</v>
      </c>
      <c r="E112" s="5" t="s">
        <v>207</v>
      </c>
      <c r="F112" s="3" t="s">
        <v>192</v>
      </c>
      <c r="I112" s="3" t="s">
        <v>193</v>
      </c>
      <c r="K112" s="3" t="s">
        <v>43</v>
      </c>
      <c r="L112" s="3" t="s">
        <v>193</v>
      </c>
      <c r="O112" s="3">
        <v>71.0</v>
      </c>
      <c r="P112" s="3" t="s">
        <v>45</v>
      </c>
      <c r="Q112" s="3" t="s">
        <v>194</v>
      </c>
      <c r="R112" s="3" t="s">
        <v>46</v>
      </c>
      <c r="AI112" s="4" t="str">
        <f>HYPERLINK("https://www.senado.gob.ar/parlamentario/parlamentaria/ordenDelDiaResultadoLink/2026/246"," 246 2026 PE -")</f>
        <v> 246 2026 PE -</v>
      </c>
      <c r="AJ112" s="3" t="s">
        <v>47</v>
      </c>
      <c r="AK112" s="3" t="s">
        <v>48</v>
      </c>
    </row>
    <row r="113" ht="15.75" customHeight="1">
      <c r="A113" s="3" t="s">
        <v>39</v>
      </c>
      <c r="B113" s="4" t="str">
        <f>HYPERLINK("https://www.senado.gob.ar/parlamentario/comisiones/verExp/114.26/PE/AC","114")</f>
        <v>114</v>
      </c>
      <c r="C113" s="4" t="str">
        <f>HYPERLINK("https://www.senado.gob.ar/parlamentario/comisiones/verExp/114.26/PE/AC","2026")</f>
        <v>2026</v>
      </c>
      <c r="D113" s="3" t="s">
        <v>40</v>
      </c>
      <c r="E113" s="5" t="s">
        <v>208</v>
      </c>
      <c r="F113" s="3" t="s">
        <v>192</v>
      </c>
      <c r="I113" s="3" t="s">
        <v>193</v>
      </c>
      <c r="K113" s="3" t="s">
        <v>153</v>
      </c>
      <c r="L113" s="3" t="s">
        <v>193</v>
      </c>
      <c r="O113" s="3">
        <v>71.0</v>
      </c>
      <c r="P113" s="3" t="s">
        <v>45</v>
      </c>
      <c r="Q113" s="3" t="s">
        <v>194</v>
      </c>
      <c r="R113" s="3" t="s">
        <v>154</v>
      </c>
      <c r="AI113" s="4" t="str">
        <f>HYPERLINK("https://www.senado.gob.ar/parlamentario/parlamentaria/ordenDelDiaResultadoLink/2026/261"," 261 2026 PE -")</f>
        <v> 261 2026 PE -</v>
      </c>
      <c r="AJ113" s="3" t="s">
        <v>47</v>
      </c>
      <c r="AK113" s="3" t="s">
        <v>48</v>
      </c>
    </row>
    <row r="114" ht="15.75" customHeight="1">
      <c r="A114" s="3" t="s">
        <v>39</v>
      </c>
      <c r="B114" s="4" t="str">
        <f>HYPERLINK("https://www.senado.gob.ar/parlamentario/comisiones/verExp/113.26/PE/AC","113")</f>
        <v>113</v>
      </c>
      <c r="C114" s="4" t="str">
        <f>HYPERLINK("https://www.senado.gob.ar/parlamentario/comisiones/verExp/113.26/PE/AC","2026")</f>
        <v>2026</v>
      </c>
      <c r="D114" s="3" t="s">
        <v>40</v>
      </c>
      <c r="E114" s="5" t="s">
        <v>209</v>
      </c>
      <c r="F114" s="3" t="s">
        <v>192</v>
      </c>
      <c r="I114" s="3" t="s">
        <v>193</v>
      </c>
      <c r="K114" s="3" t="s">
        <v>153</v>
      </c>
      <c r="L114" s="3" t="s">
        <v>193</v>
      </c>
      <c r="O114" s="3">
        <v>71.0</v>
      </c>
      <c r="P114" s="3" t="s">
        <v>45</v>
      </c>
      <c r="Q114" s="3" t="s">
        <v>194</v>
      </c>
      <c r="R114" s="3" t="s">
        <v>154</v>
      </c>
      <c r="AI114" s="4" t="str">
        <f>HYPERLINK("https://www.senado.gob.ar/parlamentario/parlamentaria/ordenDelDiaResultadoLink/2026/260"," 260 2026 PE -")</f>
        <v> 260 2026 PE -</v>
      </c>
      <c r="AJ114" s="3" t="s">
        <v>47</v>
      </c>
      <c r="AK114" s="3" t="s">
        <v>48</v>
      </c>
    </row>
    <row r="115" ht="15.75" customHeight="1">
      <c r="A115" s="3" t="s">
        <v>39</v>
      </c>
      <c r="B115" s="4" t="str">
        <f>HYPERLINK("https://www.senado.gob.ar/parlamentario/comisiones/verExp/112.26/PE/AC","112")</f>
        <v>112</v>
      </c>
      <c r="C115" s="4" t="str">
        <f>HYPERLINK("https://www.senado.gob.ar/parlamentario/comisiones/verExp/112.26/PE/AC","2026")</f>
        <v>2026</v>
      </c>
      <c r="D115" s="3" t="s">
        <v>40</v>
      </c>
      <c r="E115" s="5" t="s">
        <v>210</v>
      </c>
      <c r="F115" s="3" t="s">
        <v>192</v>
      </c>
      <c r="I115" s="3" t="s">
        <v>193</v>
      </c>
      <c r="K115" s="3" t="s">
        <v>44</v>
      </c>
      <c r="L115" s="3" t="s">
        <v>193</v>
      </c>
      <c r="O115" s="3">
        <v>71.0</v>
      </c>
      <c r="P115" s="3" t="s">
        <v>45</v>
      </c>
      <c r="Q115" s="3" t="s">
        <v>194</v>
      </c>
      <c r="AI115" s="3" t="str">
        <f t="shared" ref="AI115:AI118" si="4">HYPERLINK("","")</f>
        <v/>
      </c>
      <c r="AJ115" s="3" t="s">
        <v>47</v>
      </c>
      <c r="AK115" s="3" t="s">
        <v>48</v>
      </c>
    </row>
    <row r="116" ht="15.75" customHeight="1">
      <c r="A116" s="3" t="s">
        <v>39</v>
      </c>
      <c r="B116" s="4" t="str">
        <f>HYPERLINK("https://www.senado.gob.ar/parlamentario/comisiones/verExp/111.26/PE/AC","111")</f>
        <v>111</v>
      </c>
      <c r="C116" s="4" t="str">
        <f>HYPERLINK("https://www.senado.gob.ar/parlamentario/comisiones/verExp/111.26/PE/AC","2026")</f>
        <v>2026</v>
      </c>
      <c r="D116" s="3" t="s">
        <v>40</v>
      </c>
      <c r="E116" s="5" t="s">
        <v>211</v>
      </c>
      <c r="F116" s="3" t="s">
        <v>192</v>
      </c>
      <c r="I116" s="3" t="s">
        <v>193</v>
      </c>
      <c r="K116" s="3" t="s">
        <v>44</v>
      </c>
      <c r="L116" s="3" t="s">
        <v>193</v>
      </c>
      <c r="O116" s="3">
        <v>71.0</v>
      </c>
      <c r="P116" s="3" t="s">
        <v>45</v>
      </c>
      <c r="Q116" s="3" t="s">
        <v>194</v>
      </c>
      <c r="AI116" s="3" t="str">
        <f t="shared" si="4"/>
        <v/>
      </c>
      <c r="AJ116" s="3" t="s">
        <v>47</v>
      </c>
      <c r="AK116" s="3" t="s">
        <v>48</v>
      </c>
    </row>
    <row r="117" ht="15.75" customHeight="1">
      <c r="A117" s="3" t="s">
        <v>39</v>
      </c>
      <c r="B117" s="4" t="str">
        <f>HYPERLINK("https://www.senado.gob.ar/parlamentario/comisiones/verExp/110.26/PE/AC","110")</f>
        <v>110</v>
      </c>
      <c r="C117" s="4" t="str">
        <f>HYPERLINK("https://www.senado.gob.ar/parlamentario/comisiones/verExp/110.26/PE/AC","2026")</f>
        <v>2026</v>
      </c>
      <c r="D117" s="3" t="s">
        <v>40</v>
      </c>
      <c r="E117" s="5" t="s">
        <v>212</v>
      </c>
      <c r="F117" s="3" t="s">
        <v>192</v>
      </c>
      <c r="I117" s="3" t="s">
        <v>193</v>
      </c>
      <c r="K117" s="3" t="s">
        <v>44</v>
      </c>
      <c r="L117" s="3" t="s">
        <v>193</v>
      </c>
      <c r="O117" s="3">
        <v>71.0</v>
      </c>
      <c r="P117" s="3" t="s">
        <v>45</v>
      </c>
      <c r="Q117" s="3" t="s">
        <v>194</v>
      </c>
      <c r="AI117" s="3" t="str">
        <f t="shared" si="4"/>
        <v/>
      </c>
      <c r="AJ117" s="3" t="s">
        <v>47</v>
      </c>
      <c r="AK117" s="3" t="s">
        <v>48</v>
      </c>
    </row>
    <row r="118" ht="15.75" customHeight="1">
      <c r="A118" s="3" t="s">
        <v>39</v>
      </c>
      <c r="B118" s="4" t="str">
        <f>HYPERLINK("https://www.senado.gob.ar/parlamentario/comisiones/verExp/109.26/PE/AC","109")</f>
        <v>109</v>
      </c>
      <c r="C118" s="4" t="str">
        <f>HYPERLINK("https://www.senado.gob.ar/parlamentario/comisiones/verExp/109.26/PE/AC","2026")</f>
        <v>2026</v>
      </c>
      <c r="D118" s="3" t="s">
        <v>40</v>
      </c>
      <c r="E118" s="5" t="s">
        <v>213</v>
      </c>
      <c r="F118" s="3" t="s">
        <v>192</v>
      </c>
      <c r="I118" s="3" t="s">
        <v>193</v>
      </c>
      <c r="K118" s="3" t="s">
        <v>44</v>
      </c>
      <c r="L118" s="3" t="s">
        <v>193</v>
      </c>
      <c r="O118" s="3">
        <v>71.0</v>
      </c>
      <c r="P118" s="3" t="s">
        <v>45</v>
      </c>
      <c r="Q118" s="3" t="s">
        <v>194</v>
      </c>
      <c r="AI118" s="3" t="str">
        <f t="shared" si="4"/>
        <v/>
      </c>
      <c r="AJ118" s="3" t="s">
        <v>47</v>
      </c>
      <c r="AK118" s="3" t="s">
        <v>48</v>
      </c>
    </row>
    <row r="119" ht="15.75" customHeight="1">
      <c r="A119" s="3" t="s">
        <v>39</v>
      </c>
      <c r="B119" s="4" t="str">
        <f>HYPERLINK("https://www.senado.gob.ar/parlamentario/comisiones/verExp/108.26/PE/AC","108")</f>
        <v>108</v>
      </c>
      <c r="C119" s="4" t="str">
        <f>HYPERLINK("https://www.senado.gob.ar/parlamentario/comisiones/verExp/108.26/PE/AC","2026")</f>
        <v>2026</v>
      </c>
      <c r="D119" s="3" t="s">
        <v>40</v>
      </c>
      <c r="E119" s="5" t="s">
        <v>214</v>
      </c>
      <c r="F119" s="3" t="s">
        <v>192</v>
      </c>
      <c r="I119" s="3" t="s">
        <v>193</v>
      </c>
      <c r="K119" s="3" t="s">
        <v>43</v>
      </c>
      <c r="L119" s="3" t="s">
        <v>193</v>
      </c>
      <c r="O119" s="3">
        <v>71.0</v>
      </c>
      <c r="P119" s="3" t="s">
        <v>45</v>
      </c>
      <c r="Q119" s="3" t="s">
        <v>194</v>
      </c>
      <c r="R119" s="3" t="s">
        <v>46</v>
      </c>
      <c r="AI119" s="4" t="str">
        <f>HYPERLINK("https://www.senado.gob.ar/parlamentario/parlamentaria/ordenDelDiaResultadoLink/2026/245"," 245 2026 PE -")</f>
        <v> 245 2026 PE -</v>
      </c>
      <c r="AJ119" s="3" t="s">
        <v>47</v>
      </c>
      <c r="AK119" s="3" t="s">
        <v>48</v>
      </c>
    </row>
    <row r="120" ht="15.75" customHeight="1">
      <c r="A120" s="3" t="s">
        <v>39</v>
      </c>
      <c r="B120" s="4" t="str">
        <f>HYPERLINK("https://www.senado.gob.ar/parlamentario/comisiones/verExp/107.26/PE/AC","107")</f>
        <v>107</v>
      </c>
      <c r="C120" s="4" t="str">
        <f>HYPERLINK("https://www.senado.gob.ar/parlamentario/comisiones/verExp/107.26/PE/AC","2026")</f>
        <v>2026</v>
      </c>
      <c r="D120" s="3" t="s">
        <v>40</v>
      </c>
      <c r="E120" s="5" t="s">
        <v>215</v>
      </c>
      <c r="F120" s="3" t="s">
        <v>192</v>
      </c>
      <c r="I120" s="3" t="s">
        <v>193</v>
      </c>
      <c r="K120" s="3" t="s">
        <v>43</v>
      </c>
      <c r="L120" s="3" t="s">
        <v>193</v>
      </c>
      <c r="O120" s="3">
        <v>71.0</v>
      </c>
      <c r="P120" s="3" t="s">
        <v>45</v>
      </c>
      <c r="Q120" s="3" t="s">
        <v>194</v>
      </c>
      <c r="R120" s="3" t="s">
        <v>46</v>
      </c>
      <c r="AI120" s="4" t="str">
        <f>HYPERLINK("https://www.senado.gob.ar/parlamentario/parlamentaria/ordenDelDiaResultadoLink/2026/244"," 244 2026 PE -")</f>
        <v> 244 2026 PE -</v>
      </c>
      <c r="AJ120" s="3" t="s">
        <v>47</v>
      </c>
      <c r="AK120" s="3" t="s">
        <v>48</v>
      </c>
    </row>
    <row r="121" ht="15.75" customHeight="1">
      <c r="A121" s="3" t="s">
        <v>39</v>
      </c>
      <c r="B121" s="4" t="str">
        <f>HYPERLINK("https://www.senado.gob.ar/parlamentario/comisiones/verExp/106.26/PE/AC","106")</f>
        <v>106</v>
      </c>
      <c r="C121" s="4" t="str">
        <f>HYPERLINK("https://www.senado.gob.ar/parlamentario/comisiones/verExp/106.26/PE/AC","2026")</f>
        <v>2026</v>
      </c>
      <c r="D121" s="3" t="s">
        <v>40</v>
      </c>
      <c r="E121" s="5" t="s">
        <v>216</v>
      </c>
      <c r="F121" s="3" t="s">
        <v>192</v>
      </c>
      <c r="I121" s="3" t="s">
        <v>193</v>
      </c>
      <c r="K121" s="3" t="s">
        <v>153</v>
      </c>
      <c r="L121" s="3" t="s">
        <v>193</v>
      </c>
      <c r="O121" s="3">
        <v>71.0</v>
      </c>
      <c r="P121" s="3" t="s">
        <v>45</v>
      </c>
      <c r="Q121" s="3" t="s">
        <v>194</v>
      </c>
      <c r="R121" s="3" t="s">
        <v>154</v>
      </c>
      <c r="AI121" s="4" t="str">
        <f>HYPERLINK("https://www.senado.gob.ar/parlamentario/parlamentaria/ordenDelDiaResultadoLink/2026/259"," 259 2026 PE -")</f>
        <v> 259 2026 PE -</v>
      </c>
      <c r="AJ121" s="3" t="s">
        <v>47</v>
      </c>
      <c r="AK121" s="3" t="s">
        <v>48</v>
      </c>
    </row>
    <row r="122" ht="15.75" customHeight="1">
      <c r="A122" s="3" t="s">
        <v>39</v>
      </c>
      <c r="B122" s="4" t="str">
        <f>HYPERLINK("https://www.senado.gob.ar/parlamentario/comisiones/verExp/105.26/PE/AC","105")</f>
        <v>105</v>
      </c>
      <c r="C122" s="4" t="str">
        <f>HYPERLINK("https://www.senado.gob.ar/parlamentario/comisiones/verExp/105.26/PE/AC","2026")</f>
        <v>2026</v>
      </c>
      <c r="D122" s="3" t="s">
        <v>40</v>
      </c>
      <c r="E122" s="5" t="s">
        <v>217</v>
      </c>
      <c r="F122" s="3" t="s">
        <v>192</v>
      </c>
      <c r="H122" s="3" t="s">
        <v>123</v>
      </c>
      <c r="I122" s="3" t="s">
        <v>193</v>
      </c>
      <c r="K122" s="3" t="s">
        <v>124</v>
      </c>
      <c r="L122" s="3" t="s">
        <v>193</v>
      </c>
      <c r="O122" s="3">
        <v>71.0</v>
      </c>
      <c r="P122" s="3" t="s">
        <v>45</v>
      </c>
      <c r="Q122" s="3" t="s">
        <v>194</v>
      </c>
      <c r="R122" s="3" t="s">
        <v>125</v>
      </c>
      <c r="AI122" s="4" t="str">
        <f>HYPERLINK("https://www.senado.gob.ar/parlamentario/parlamentaria/ordenDelDiaResultadoLink/2026/209"," 209 2026 AP -")</f>
        <v> 209 2026 AP -</v>
      </c>
      <c r="AJ122" s="3" t="s">
        <v>126</v>
      </c>
      <c r="AK122" s="3" t="s">
        <v>48</v>
      </c>
      <c r="AM122" s="3" t="s">
        <v>123</v>
      </c>
    </row>
    <row r="123" ht="15.75" customHeight="1">
      <c r="A123" s="3" t="s">
        <v>39</v>
      </c>
      <c r="B123" s="4" t="str">
        <f>HYPERLINK("https://www.senado.gob.ar/parlamentario/comisiones/verExp/104.26/PE/AC","104")</f>
        <v>104</v>
      </c>
      <c r="C123" s="4" t="str">
        <f>HYPERLINK("https://www.senado.gob.ar/parlamentario/comisiones/verExp/104.26/PE/AC","2026")</f>
        <v>2026</v>
      </c>
      <c r="D123" s="3" t="s">
        <v>40</v>
      </c>
      <c r="E123" s="5" t="s">
        <v>218</v>
      </c>
      <c r="F123" s="3" t="s">
        <v>192</v>
      </c>
      <c r="I123" s="3" t="s">
        <v>193</v>
      </c>
      <c r="K123" s="3" t="s">
        <v>43</v>
      </c>
      <c r="L123" s="3" t="s">
        <v>193</v>
      </c>
      <c r="O123" s="3">
        <v>71.0</v>
      </c>
      <c r="P123" s="3" t="s">
        <v>45</v>
      </c>
      <c r="Q123" s="3" t="s">
        <v>194</v>
      </c>
      <c r="R123" s="3" t="s">
        <v>46</v>
      </c>
      <c r="AI123" s="4" t="str">
        <f>HYPERLINK("https://www.senado.gob.ar/parlamentario/parlamentaria/ordenDelDiaResultadoLink/2026/243"," 243 2026 PE -")</f>
        <v> 243 2026 PE -</v>
      </c>
      <c r="AJ123" s="3" t="s">
        <v>47</v>
      </c>
      <c r="AK123" s="3" t="s">
        <v>48</v>
      </c>
    </row>
    <row r="124" ht="15.75" customHeight="1">
      <c r="A124" s="3" t="s">
        <v>39</v>
      </c>
      <c r="B124" s="4" t="str">
        <f>HYPERLINK("https://www.senado.gob.ar/parlamentario/comisiones/verExp/103.26/PE/AC","103")</f>
        <v>103</v>
      </c>
      <c r="C124" s="4" t="str">
        <f>HYPERLINK("https://www.senado.gob.ar/parlamentario/comisiones/verExp/103.26/PE/AC","2026")</f>
        <v>2026</v>
      </c>
      <c r="D124" s="3" t="s">
        <v>40</v>
      </c>
      <c r="E124" s="5" t="s">
        <v>219</v>
      </c>
      <c r="F124" s="3" t="s">
        <v>192</v>
      </c>
      <c r="I124" s="3" t="s">
        <v>193</v>
      </c>
      <c r="K124" s="3" t="s">
        <v>153</v>
      </c>
      <c r="L124" s="3" t="s">
        <v>193</v>
      </c>
      <c r="O124" s="3">
        <v>71.0</v>
      </c>
      <c r="P124" s="3" t="s">
        <v>45</v>
      </c>
      <c r="Q124" s="3" t="s">
        <v>194</v>
      </c>
      <c r="R124" s="3" t="s">
        <v>154</v>
      </c>
      <c r="AI124" s="4" t="str">
        <f>HYPERLINK("https://www.senado.gob.ar/parlamentario/parlamentaria/ordenDelDiaResultadoLink/2026/258"," 258 2026 PE -")</f>
        <v> 258 2026 PE -</v>
      </c>
      <c r="AJ124" s="3" t="s">
        <v>47</v>
      </c>
      <c r="AK124" s="3" t="s">
        <v>48</v>
      </c>
    </row>
    <row r="125" ht="15.75" customHeight="1">
      <c r="A125" s="3" t="s">
        <v>39</v>
      </c>
      <c r="B125" s="4" t="str">
        <f>HYPERLINK("https://www.senado.gob.ar/parlamentario/comisiones/verExp/93.26/PE/AC","93")</f>
        <v>93</v>
      </c>
      <c r="C125" s="4" t="str">
        <f>HYPERLINK("https://www.senado.gob.ar/parlamentario/comisiones/verExp/93.26/PE/AC","2026")</f>
        <v>2026</v>
      </c>
      <c r="D125" s="3" t="s">
        <v>40</v>
      </c>
      <c r="E125" s="5" t="s">
        <v>220</v>
      </c>
      <c r="F125" s="3" t="s">
        <v>221</v>
      </c>
      <c r="H125" s="3" t="s">
        <v>222</v>
      </c>
      <c r="I125" s="3" t="s">
        <v>223</v>
      </c>
      <c r="K125" s="3" t="s">
        <v>137</v>
      </c>
      <c r="L125" s="3" t="s">
        <v>223</v>
      </c>
      <c r="O125" s="3">
        <v>71.0</v>
      </c>
      <c r="P125" s="3" t="s">
        <v>45</v>
      </c>
      <c r="Q125" s="3" t="s">
        <v>224</v>
      </c>
      <c r="R125" s="3" t="s">
        <v>138</v>
      </c>
      <c r="AI125" s="4" t="str">
        <f>HYPERLINK("https://www.senado.gob.ar/parlamentario/parlamentaria/ordenDelDiaResultadoLink/2026/101"," 101 2026 AP -")</f>
        <v> 101 2026 AP -</v>
      </c>
      <c r="AJ125" s="3" t="s">
        <v>225</v>
      </c>
      <c r="AK125" s="3" t="s">
        <v>48</v>
      </c>
      <c r="AM125" s="3" t="s">
        <v>222</v>
      </c>
    </row>
    <row r="126" ht="15.75" customHeight="1">
      <c r="A126" s="3" t="s">
        <v>39</v>
      </c>
      <c r="B126" s="4" t="str">
        <f>HYPERLINK("https://www.senado.gob.ar/parlamentario/comisiones/verExp/92.26/PE/AC","92")</f>
        <v>92</v>
      </c>
      <c r="C126" s="4" t="str">
        <f>HYPERLINK("https://www.senado.gob.ar/parlamentario/comisiones/verExp/92.26/PE/AC","2026")</f>
        <v>2026</v>
      </c>
      <c r="D126" s="3" t="s">
        <v>40</v>
      </c>
      <c r="E126" s="5" t="s">
        <v>226</v>
      </c>
      <c r="F126" s="3" t="s">
        <v>221</v>
      </c>
      <c r="H126" s="3" t="s">
        <v>222</v>
      </c>
      <c r="I126" s="3" t="s">
        <v>223</v>
      </c>
      <c r="K126" s="3" t="s">
        <v>137</v>
      </c>
      <c r="L126" s="3" t="s">
        <v>223</v>
      </c>
      <c r="O126" s="3">
        <v>71.0</v>
      </c>
      <c r="P126" s="3" t="s">
        <v>45</v>
      </c>
      <c r="Q126" s="3" t="s">
        <v>224</v>
      </c>
      <c r="R126" s="3" t="s">
        <v>138</v>
      </c>
      <c r="AI126" s="4" t="str">
        <f>HYPERLINK("https://www.senado.gob.ar/parlamentario/parlamentaria/ordenDelDiaResultadoLink/2026/100"," 100 2026 AP -")</f>
        <v> 100 2026 AP -</v>
      </c>
      <c r="AJ126" s="3" t="s">
        <v>225</v>
      </c>
      <c r="AK126" s="3" t="s">
        <v>48</v>
      </c>
      <c r="AM126" s="3" t="s">
        <v>222</v>
      </c>
    </row>
    <row r="127" ht="15.75" customHeight="1">
      <c r="A127" s="3" t="s">
        <v>39</v>
      </c>
      <c r="B127" s="4" t="str">
        <f>HYPERLINK("https://www.senado.gob.ar/parlamentario/comisiones/verExp/91.26/PE/AC","91")</f>
        <v>91</v>
      </c>
      <c r="C127" s="4" t="str">
        <f>HYPERLINK("https://www.senado.gob.ar/parlamentario/comisiones/verExp/91.26/PE/AC","2026")</f>
        <v>2026</v>
      </c>
      <c r="D127" s="3" t="s">
        <v>40</v>
      </c>
      <c r="E127" s="5" t="s">
        <v>227</v>
      </c>
      <c r="F127" s="3" t="s">
        <v>221</v>
      </c>
      <c r="I127" s="3" t="s">
        <v>223</v>
      </c>
      <c r="K127" s="3" t="s">
        <v>44</v>
      </c>
      <c r="L127" s="3" t="s">
        <v>223</v>
      </c>
      <c r="O127" s="3">
        <v>71.0</v>
      </c>
      <c r="P127" s="3" t="s">
        <v>45</v>
      </c>
      <c r="Q127" s="3" t="s">
        <v>224</v>
      </c>
      <c r="AI127" s="3" t="str">
        <f>HYPERLINK("","")</f>
        <v/>
      </c>
      <c r="AJ127" s="3" t="s">
        <v>47</v>
      </c>
      <c r="AK127" s="3" t="s">
        <v>48</v>
      </c>
    </row>
    <row r="128" ht="15.75" customHeight="1">
      <c r="A128" s="3" t="s">
        <v>39</v>
      </c>
      <c r="B128" s="4" t="str">
        <f>HYPERLINK("https://www.senado.gob.ar/parlamentario/comisiones/verExp/90.26/PE/AC","90")</f>
        <v>90</v>
      </c>
      <c r="C128" s="4" t="str">
        <f>HYPERLINK("https://www.senado.gob.ar/parlamentario/comisiones/verExp/90.26/PE/AC","2026")</f>
        <v>2026</v>
      </c>
      <c r="D128" s="3" t="s">
        <v>40</v>
      </c>
      <c r="E128" s="5" t="s">
        <v>228</v>
      </c>
      <c r="F128" s="3" t="s">
        <v>221</v>
      </c>
      <c r="H128" s="3" t="s">
        <v>222</v>
      </c>
      <c r="I128" s="3" t="s">
        <v>223</v>
      </c>
      <c r="K128" s="3" t="s">
        <v>137</v>
      </c>
      <c r="L128" s="3" t="s">
        <v>223</v>
      </c>
      <c r="O128" s="3">
        <v>71.0</v>
      </c>
      <c r="P128" s="3" t="s">
        <v>45</v>
      </c>
      <c r="Q128" s="3" t="s">
        <v>224</v>
      </c>
      <c r="R128" s="3" t="s">
        <v>138</v>
      </c>
      <c r="AI128" s="4" t="str">
        <f>HYPERLINK("https://www.senado.gob.ar/parlamentario/parlamentaria/ordenDelDiaResultadoLink/2026/99"," 99 2026 AP -")</f>
        <v> 99 2026 AP -</v>
      </c>
      <c r="AJ128" s="3" t="s">
        <v>225</v>
      </c>
      <c r="AK128" s="3" t="s">
        <v>48</v>
      </c>
      <c r="AM128" s="3" t="s">
        <v>222</v>
      </c>
    </row>
    <row r="129" ht="15.75" customHeight="1">
      <c r="A129" s="3" t="s">
        <v>39</v>
      </c>
      <c r="B129" s="4" t="str">
        <f>HYPERLINK("https://www.senado.gob.ar/parlamentario/comisiones/verExp/89.26/PE/AC","89")</f>
        <v>89</v>
      </c>
      <c r="C129" s="4" t="str">
        <f>HYPERLINK("https://www.senado.gob.ar/parlamentario/comisiones/verExp/89.26/PE/AC","2026")</f>
        <v>2026</v>
      </c>
      <c r="D129" s="3" t="s">
        <v>40</v>
      </c>
      <c r="E129" s="5" t="s">
        <v>229</v>
      </c>
      <c r="F129" s="3" t="s">
        <v>221</v>
      </c>
      <c r="I129" s="3" t="s">
        <v>223</v>
      </c>
      <c r="K129" s="3" t="s">
        <v>44</v>
      </c>
      <c r="L129" s="3" t="s">
        <v>223</v>
      </c>
      <c r="O129" s="3">
        <v>71.0</v>
      </c>
      <c r="P129" s="3" t="s">
        <v>45</v>
      </c>
      <c r="Q129" s="3" t="s">
        <v>224</v>
      </c>
      <c r="AI129" s="3" t="str">
        <f>HYPERLINK("","")</f>
        <v/>
      </c>
      <c r="AJ129" s="3" t="s">
        <v>47</v>
      </c>
      <c r="AK129" s="3" t="s">
        <v>48</v>
      </c>
    </row>
    <row r="130" ht="15.75" customHeight="1">
      <c r="A130" s="3" t="s">
        <v>39</v>
      </c>
      <c r="B130" s="4" t="str">
        <f>HYPERLINK("https://www.senado.gob.ar/parlamentario/comisiones/verExp/88.26/PE/AC","88")</f>
        <v>88</v>
      </c>
      <c r="C130" s="4" t="str">
        <f>HYPERLINK("https://www.senado.gob.ar/parlamentario/comisiones/verExp/88.26/PE/AC","2026")</f>
        <v>2026</v>
      </c>
      <c r="D130" s="3" t="s">
        <v>40</v>
      </c>
      <c r="E130" s="5" t="s">
        <v>230</v>
      </c>
      <c r="F130" s="3" t="s">
        <v>231</v>
      </c>
      <c r="H130" s="3" t="s">
        <v>222</v>
      </c>
      <c r="I130" s="3" t="s">
        <v>232</v>
      </c>
      <c r="K130" s="3" t="s">
        <v>137</v>
      </c>
      <c r="L130" s="3" t="s">
        <v>232</v>
      </c>
      <c r="O130" s="3">
        <v>71.0</v>
      </c>
      <c r="P130" s="3" t="s">
        <v>45</v>
      </c>
      <c r="Q130" s="3" t="s">
        <v>233</v>
      </c>
      <c r="R130" s="3" t="s">
        <v>138</v>
      </c>
      <c r="AI130" s="4" t="str">
        <f>HYPERLINK("https://www.senado.gob.ar/parlamentario/parlamentaria/ordenDelDiaResultadoLink/2026/98"," 98 2026 AP -")</f>
        <v> 98 2026 AP -</v>
      </c>
      <c r="AJ130" s="3" t="s">
        <v>225</v>
      </c>
      <c r="AK130" s="3" t="s">
        <v>48</v>
      </c>
      <c r="AM130" s="3" t="s">
        <v>222</v>
      </c>
    </row>
    <row r="131" ht="15.75" customHeight="1">
      <c r="A131" s="3" t="s">
        <v>39</v>
      </c>
      <c r="B131" s="4" t="str">
        <f>HYPERLINK("https://www.senado.gob.ar/parlamentario/comisiones/verExp/87.26/PE/AC","87")</f>
        <v>87</v>
      </c>
      <c r="C131" s="4" t="str">
        <f>HYPERLINK("https://www.senado.gob.ar/parlamentario/comisiones/verExp/87.26/PE/AC","2026")</f>
        <v>2026</v>
      </c>
      <c r="D131" s="3" t="s">
        <v>40</v>
      </c>
      <c r="E131" s="5" t="s">
        <v>234</v>
      </c>
      <c r="F131" s="3" t="s">
        <v>231</v>
      </c>
      <c r="H131" s="3" t="s">
        <v>222</v>
      </c>
      <c r="I131" s="3" t="s">
        <v>232</v>
      </c>
      <c r="K131" s="3" t="s">
        <v>137</v>
      </c>
      <c r="L131" s="3" t="s">
        <v>232</v>
      </c>
      <c r="O131" s="3">
        <v>71.0</v>
      </c>
      <c r="P131" s="3" t="s">
        <v>45</v>
      </c>
      <c r="Q131" s="3" t="s">
        <v>233</v>
      </c>
      <c r="R131" s="3" t="s">
        <v>138</v>
      </c>
      <c r="AI131" s="4" t="str">
        <f>HYPERLINK("https://www.senado.gob.ar/parlamentario/parlamentaria/ordenDelDiaResultadoLink/2026/97"," 97 2026 AP -")</f>
        <v> 97 2026 AP -</v>
      </c>
      <c r="AJ131" s="3" t="s">
        <v>225</v>
      </c>
      <c r="AK131" s="3" t="s">
        <v>48</v>
      </c>
      <c r="AM131" s="3" t="s">
        <v>222</v>
      </c>
    </row>
    <row r="132" ht="15.75" customHeight="1">
      <c r="A132" s="3" t="s">
        <v>39</v>
      </c>
      <c r="B132" s="4" t="str">
        <f>HYPERLINK("https://www.senado.gob.ar/parlamentario/comisiones/verExp/86.26/PE/AC","86")</f>
        <v>86</v>
      </c>
      <c r="C132" s="4" t="str">
        <f>HYPERLINK("https://www.senado.gob.ar/parlamentario/comisiones/verExp/86.26/PE/AC","2026")</f>
        <v>2026</v>
      </c>
      <c r="D132" s="3" t="s">
        <v>40</v>
      </c>
      <c r="E132" s="5" t="s">
        <v>235</v>
      </c>
      <c r="F132" s="3" t="s">
        <v>231</v>
      </c>
      <c r="H132" s="3" t="s">
        <v>222</v>
      </c>
      <c r="I132" s="3" t="s">
        <v>232</v>
      </c>
      <c r="K132" s="3" t="s">
        <v>137</v>
      </c>
      <c r="L132" s="3" t="s">
        <v>232</v>
      </c>
      <c r="O132" s="3">
        <v>71.0</v>
      </c>
      <c r="P132" s="3" t="s">
        <v>45</v>
      </c>
      <c r="Q132" s="3" t="s">
        <v>233</v>
      </c>
      <c r="R132" s="3" t="s">
        <v>138</v>
      </c>
      <c r="AI132" s="4" t="str">
        <f>HYPERLINK("https://www.senado.gob.ar/parlamentario/parlamentaria/ordenDelDiaResultadoLink/2026/96"," 96 2026 AP -")</f>
        <v> 96 2026 AP -</v>
      </c>
      <c r="AJ132" s="3" t="s">
        <v>225</v>
      </c>
      <c r="AK132" s="3" t="s">
        <v>48</v>
      </c>
      <c r="AM132" s="3" t="s">
        <v>222</v>
      </c>
    </row>
    <row r="133" ht="15.75" customHeight="1">
      <c r="A133" s="3" t="s">
        <v>39</v>
      </c>
      <c r="B133" s="4" t="str">
        <f>HYPERLINK("https://www.senado.gob.ar/parlamentario/comisiones/verExp/85.26/PE/AC","85")</f>
        <v>85</v>
      </c>
      <c r="C133" s="4" t="str">
        <f>HYPERLINK("https://www.senado.gob.ar/parlamentario/comisiones/verExp/85.26/PE/AC","2026")</f>
        <v>2026</v>
      </c>
      <c r="D133" s="3" t="s">
        <v>40</v>
      </c>
      <c r="E133" s="5" t="s">
        <v>236</v>
      </c>
      <c r="F133" s="3" t="s">
        <v>237</v>
      </c>
      <c r="H133" s="3" t="s">
        <v>222</v>
      </c>
      <c r="I133" s="3" t="s">
        <v>238</v>
      </c>
      <c r="K133" s="3" t="s">
        <v>137</v>
      </c>
      <c r="L133" s="3" t="s">
        <v>238</v>
      </c>
      <c r="O133" s="3">
        <v>71.0</v>
      </c>
      <c r="P133" s="3" t="s">
        <v>45</v>
      </c>
      <c r="Q133" s="3" t="s">
        <v>239</v>
      </c>
      <c r="R133" s="3" t="s">
        <v>138</v>
      </c>
      <c r="AI133" s="4" t="str">
        <f>HYPERLINK("https://www.senado.gob.ar/parlamentario/parlamentaria/ordenDelDiaResultadoLink/2026/95"," 95 2026 AP -")</f>
        <v> 95 2026 AP -</v>
      </c>
      <c r="AJ133" s="3" t="s">
        <v>225</v>
      </c>
      <c r="AK133" s="3" t="s">
        <v>48</v>
      </c>
      <c r="AM133" s="3" t="s">
        <v>222</v>
      </c>
    </row>
    <row r="134" ht="15.75" customHeight="1">
      <c r="A134" s="3" t="s">
        <v>39</v>
      </c>
      <c r="B134" s="4" t="str">
        <f>HYPERLINK("https://www.senado.gob.ar/parlamentario/comisiones/verExp/84.26/PE/AC","84")</f>
        <v>84</v>
      </c>
      <c r="C134" s="4" t="str">
        <f>HYPERLINK("https://www.senado.gob.ar/parlamentario/comisiones/verExp/84.26/PE/AC","2026")</f>
        <v>2026</v>
      </c>
      <c r="D134" s="3" t="s">
        <v>40</v>
      </c>
      <c r="E134" s="5" t="s">
        <v>240</v>
      </c>
      <c r="F134" s="3" t="s">
        <v>237</v>
      </c>
      <c r="I134" s="3" t="s">
        <v>238</v>
      </c>
      <c r="K134" s="3" t="s">
        <v>142</v>
      </c>
      <c r="L134" s="3" t="s">
        <v>238</v>
      </c>
      <c r="O134" s="3">
        <v>71.0</v>
      </c>
      <c r="P134" s="3" t="s">
        <v>45</v>
      </c>
      <c r="Q134" s="3" t="s">
        <v>239</v>
      </c>
      <c r="R134" s="3" t="s">
        <v>143</v>
      </c>
      <c r="AI134" s="4" t="str">
        <f>HYPERLINK("https://www.senado.gob.ar/parlamentario/parlamentaria/ordenDelDiaResultadoLink/2026/87"," 87 2026 AP -")</f>
        <v> 87 2026 AP -</v>
      </c>
      <c r="AJ134" s="3" t="s">
        <v>225</v>
      </c>
      <c r="AK134" s="3" t="s">
        <v>48</v>
      </c>
    </row>
    <row r="135" ht="15.75" customHeight="1">
      <c r="A135" s="3" t="s">
        <v>39</v>
      </c>
      <c r="B135" s="4" t="str">
        <f>HYPERLINK("https://www.senado.gob.ar/parlamentario/comisiones/verExp/83.26/PE/AC","83")</f>
        <v>83</v>
      </c>
      <c r="C135" s="4" t="str">
        <f>HYPERLINK("https://www.senado.gob.ar/parlamentario/comisiones/verExp/83.26/PE/AC","2026")</f>
        <v>2026</v>
      </c>
      <c r="D135" s="3" t="s">
        <v>40</v>
      </c>
      <c r="E135" s="5" t="s">
        <v>241</v>
      </c>
      <c r="F135" s="3" t="s">
        <v>237</v>
      </c>
      <c r="H135" s="3" t="s">
        <v>222</v>
      </c>
      <c r="I135" s="3" t="s">
        <v>238</v>
      </c>
      <c r="K135" s="3" t="s">
        <v>142</v>
      </c>
      <c r="L135" s="3" t="s">
        <v>238</v>
      </c>
      <c r="O135" s="3">
        <v>71.0</v>
      </c>
      <c r="P135" s="3" t="s">
        <v>45</v>
      </c>
      <c r="Q135" s="3" t="s">
        <v>239</v>
      </c>
      <c r="R135" s="3" t="s">
        <v>143</v>
      </c>
      <c r="AI135" s="4" t="str">
        <f>HYPERLINK("https://www.senado.gob.ar/parlamentario/parlamentaria/ordenDelDiaResultadoLink/2026/86"," 86 2026 AP -")</f>
        <v> 86 2026 AP -</v>
      </c>
      <c r="AJ135" s="3" t="s">
        <v>225</v>
      </c>
      <c r="AK135" s="3" t="s">
        <v>48</v>
      </c>
      <c r="AM135" s="3" t="s">
        <v>222</v>
      </c>
    </row>
    <row r="136" ht="15.75" customHeight="1">
      <c r="A136" s="3" t="s">
        <v>39</v>
      </c>
      <c r="B136" s="4" t="str">
        <f>HYPERLINK("https://www.senado.gob.ar/parlamentario/comisiones/verExp/82.26/PE/AC","82")</f>
        <v>82</v>
      </c>
      <c r="C136" s="4" t="str">
        <f>HYPERLINK("https://www.senado.gob.ar/parlamentario/comisiones/verExp/82.26/PE/AC","2026")</f>
        <v>2026</v>
      </c>
      <c r="D136" s="3" t="s">
        <v>40</v>
      </c>
      <c r="E136" s="5" t="s">
        <v>242</v>
      </c>
      <c r="F136" s="3" t="s">
        <v>237</v>
      </c>
      <c r="H136" s="3" t="s">
        <v>222</v>
      </c>
      <c r="I136" s="3" t="s">
        <v>238</v>
      </c>
      <c r="K136" s="3" t="s">
        <v>142</v>
      </c>
      <c r="L136" s="3" t="s">
        <v>238</v>
      </c>
      <c r="O136" s="3">
        <v>71.0</v>
      </c>
      <c r="P136" s="3" t="s">
        <v>45</v>
      </c>
      <c r="Q136" s="3" t="s">
        <v>239</v>
      </c>
      <c r="R136" s="3" t="s">
        <v>143</v>
      </c>
      <c r="AI136" s="4" t="str">
        <f>HYPERLINK("https://www.senado.gob.ar/parlamentario/parlamentaria/ordenDelDiaResultadoLink/2026/85"," 85 2026 AP -")</f>
        <v> 85 2026 AP -</v>
      </c>
      <c r="AJ136" s="3" t="s">
        <v>225</v>
      </c>
      <c r="AK136" s="3" t="s">
        <v>48</v>
      </c>
      <c r="AM136" s="3" t="s">
        <v>222</v>
      </c>
    </row>
    <row r="137" ht="15.75" customHeight="1">
      <c r="A137" s="3" t="s">
        <v>39</v>
      </c>
      <c r="B137" s="4" t="str">
        <f>HYPERLINK("https://www.senado.gob.ar/parlamentario/comisiones/verExp/81.26/PE/AC","81")</f>
        <v>81</v>
      </c>
      <c r="C137" s="4" t="str">
        <f>HYPERLINK("https://www.senado.gob.ar/parlamentario/comisiones/verExp/81.26/PE/AC","2026")</f>
        <v>2026</v>
      </c>
      <c r="D137" s="3" t="s">
        <v>40</v>
      </c>
      <c r="E137" s="5" t="s">
        <v>243</v>
      </c>
      <c r="F137" s="3" t="s">
        <v>237</v>
      </c>
      <c r="H137" s="3" t="s">
        <v>222</v>
      </c>
      <c r="I137" s="3" t="s">
        <v>238</v>
      </c>
      <c r="K137" s="3" t="s">
        <v>142</v>
      </c>
      <c r="L137" s="3" t="s">
        <v>238</v>
      </c>
      <c r="O137" s="3">
        <v>71.0</v>
      </c>
      <c r="P137" s="3" t="s">
        <v>45</v>
      </c>
      <c r="Q137" s="3" t="s">
        <v>239</v>
      </c>
      <c r="R137" s="3" t="s">
        <v>143</v>
      </c>
      <c r="AI137" s="4" t="str">
        <f>HYPERLINK("https://www.senado.gob.ar/parlamentario/parlamentaria/ordenDelDiaResultadoLink/2026/84"," 84 2026 AP -")</f>
        <v> 84 2026 AP -</v>
      </c>
      <c r="AJ137" s="3" t="s">
        <v>225</v>
      </c>
      <c r="AK137" s="3" t="s">
        <v>48</v>
      </c>
      <c r="AM137" s="3" t="s">
        <v>222</v>
      </c>
    </row>
    <row r="138" ht="15.75" customHeight="1">
      <c r="A138" s="3" t="s">
        <v>39</v>
      </c>
      <c r="B138" s="4" t="str">
        <f>HYPERLINK("https://www.senado.gob.ar/parlamentario/comisiones/verExp/80.26/PE/AC","80")</f>
        <v>80</v>
      </c>
      <c r="C138" s="4" t="str">
        <f>HYPERLINK("https://www.senado.gob.ar/parlamentario/comisiones/verExp/80.26/PE/AC","2026")</f>
        <v>2026</v>
      </c>
      <c r="D138" s="3" t="s">
        <v>40</v>
      </c>
      <c r="E138" s="5" t="s">
        <v>244</v>
      </c>
      <c r="F138" s="3" t="s">
        <v>237</v>
      </c>
      <c r="H138" s="3" t="s">
        <v>222</v>
      </c>
      <c r="I138" s="3" t="s">
        <v>238</v>
      </c>
      <c r="K138" s="3" t="s">
        <v>137</v>
      </c>
      <c r="L138" s="3" t="s">
        <v>238</v>
      </c>
      <c r="O138" s="3">
        <v>71.0</v>
      </c>
      <c r="P138" s="3" t="s">
        <v>45</v>
      </c>
      <c r="Q138" s="3" t="s">
        <v>239</v>
      </c>
      <c r="R138" s="3" t="s">
        <v>138</v>
      </c>
      <c r="AI138" s="4" t="str">
        <f>HYPERLINK("https://www.senado.gob.ar/parlamentario/parlamentaria/ordenDelDiaResultadoLink/2026/94"," 94 2026 AP -")</f>
        <v> 94 2026 AP -</v>
      </c>
      <c r="AJ138" s="3" t="s">
        <v>225</v>
      </c>
      <c r="AK138" s="3" t="s">
        <v>48</v>
      </c>
      <c r="AM138" s="3" t="s">
        <v>222</v>
      </c>
    </row>
    <row r="139" ht="15.75" customHeight="1">
      <c r="A139" s="3" t="s">
        <v>39</v>
      </c>
      <c r="B139" s="4" t="str">
        <f>HYPERLINK("https://www.senado.gob.ar/parlamentario/comisiones/verExp/79.26/PE/AC","79")</f>
        <v>79</v>
      </c>
      <c r="C139" s="4" t="str">
        <f>HYPERLINK("https://www.senado.gob.ar/parlamentario/comisiones/verExp/79.26/PE/AC","2026")</f>
        <v>2026</v>
      </c>
      <c r="D139" s="3" t="s">
        <v>40</v>
      </c>
      <c r="E139" s="5" t="s">
        <v>245</v>
      </c>
      <c r="F139" s="3" t="s">
        <v>237</v>
      </c>
      <c r="H139" s="3" t="s">
        <v>222</v>
      </c>
      <c r="I139" s="3" t="s">
        <v>238</v>
      </c>
      <c r="K139" s="3" t="s">
        <v>137</v>
      </c>
      <c r="L139" s="3" t="s">
        <v>238</v>
      </c>
      <c r="O139" s="3">
        <v>71.0</v>
      </c>
      <c r="P139" s="3" t="s">
        <v>45</v>
      </c>
      <c r="Q139" s="3" t="s">
        <v>239</v>
      </c>
      <c r="R139" s="3" t="s">
        <v>138</v>
      </c>
      <c r="AI139" s="4" t="str">
        <f>HYPERLINK("https://www.senado.gob.ar/parlamentario/parlamentaria/ordenDelDiaResultadoLink/2026/93"," 93 2026 AP -")</f>
        <v> 93 2026 AP -</v>
      </c>
      <c r="AJ139" s="3" t="s">
        <v>225</v>
      </c>
      <c r="AK139" s="3" t="s">
        <v>48</v>
      </c>
      <c r="AM139" s="3" t="s">
        <v>222</v>
      </c>
    </row>
    <row r="140" ht="15.75" customHeight="1">
      <c r="A140" s="3" t="s">
        <v>39</v>
      </c>
      <c r="B140" s="4" t="str">
        <f>HYPERLINK("https://www.senado.gob.ar/parlamentario/comisiones/verExp/78.26/PE/AC","78")</f>
        <v>78</v>
      </c>
      <c r="C140" s="4" t="str">
        <f>HYPERLINK("https://www.senado.gob.ar/parlamentario/comisiones/verExp/78.26/PE/AC","2026")</f>
        <v>2026</v>
      </c>
      <c r="D140" s="3" t="s">
        <v>40</v>
      </c>
      <c r="E140" s="5" t="s">
        <v>246</v>
      </c>
      <c r="F140" s="3" t="s">
        <v>237</v>
      </c>
      <c r="H140" s="3" t="s">
        <v>222</v>
      </c>
      <c r="I140" s="3" t="s">
        <v>238</v>
      </c>
      <c r="K140" s="3" t="s">
        <v>142</v>
      </c>
      <c r="L140" s="3" t="s">
        <v>238</v>
      </c>
      <c r="O140" s="3">
        <v>71.0</v>
      </c>
      <c r="P140" s="3" t="s">
        <v>45</v>
      </c>
      <c r="Q140" s="3" t="s">
        <v>239</v>
      </c>
      <c r="R140" s="3" t="s">
        <v>143</v>
      </c>
      <c r="AI140" s="4" t="str">
        <f>HYPERLINK("https://www.senado.gob.ar/parlamentario/parlamentaria/ordenDelDiaResultadoLink/2026/83"," 83 2026 AP -")</f>
        <v> 83 2026 AP -</v>
      </c>
      <c r="AJ140" s="3" t="s">
        <v>225</v>
      </c>
      <c r="AK140" s="3" t="s">
        <v>48</v>
      </c>
      <c r="AM140" s="3" t="s">
        <v>222</v>
      </c>
    </row>
    <row r="141" ht="15.75" customHeight="1">
      <c r="A141" s="3" t="s">
        <v>39</v>
      </c>
      <c r="B141" s="4" t="str">
        <f>HYPERLINK("https://www.senado.gob.ar/parlamentario/comisiones/verExp/77.26/PE/AC","77")</f>
        <v>77</v>
      </c>
      <c r="C141" s="4" t="str">
        <f>HYPERLINK("https://www.senado.gob.ar/parlamentario/comisiones/verExp/77.26/PE/AC","2026")</f>
        <v>2026</v>
      </c>
      <c r="D141" s="3" t="s">
        <v>40</v>
      </c>
      <c r="E141" s="5" t="s">
        <v>247</v>
      </c>
      <c r="F141" s="3" t="s">
        <v>237</v>
      </c>
      <c r="H141" s="3" t="s">
        <v>222</v>
      </c>
      <c r="I141" s="3" t="s">
        <v>238</v>
      </c>
      <c r="K141" s="3" t="s">
        <v>142</v>
      </c>
      <c r="L141" s="3" t="s">
        <v>238</v>
      </c>
      <c r="O141" s="3">
        <v>71.0</v>
      </c>
      <c r="P141" s="3" t="s">
        <v>45</v>
      </c>
      <c r="Q141" s="3" t="s">
        <v>239</v>
      </c>
      <c r="R141" s="3" t="s">
        <v>143</v>
      </c>
      <c r="AI141" s="4" t="str">
        <f>HYPERLINK("https://www.senado.gob.ar/parlamentario/parlamentaria/ordenDelDiaResultadoLink/2026/82"," 82 2026 AP -")</f>
        <v> 82 2026 AP -</v>
      </c>
      <c r="AJ141" s="3" t="s">
        <v>225</v>
      </c>
      <c r="AK141" s="3" t="s">
        <v>48</v>
      </c>
      <c r="AM141" s="3" t="s">
        <v>222</v>
      </c>
    </row>
    <row r="142" ht="15.75" customHeight="1">
      <c r="A142" s="3" t="s">
        <v>39</v>
      </c>
      <c r="B142" s="4" t="str">
        <f>HYPERLINK("https://www.senado.gob.ar/parlamentario/comisiones/verExp/76.26/PE/AC","76")</f>
        <v>76</v>
      </c>
      <c r="C142" s="4" t="str">
        <f>HYPERLINK("https://www.senado.gob.ar/parlamentario/comisiones/verExp/76.26/PE/AC","2026")</f>
        <v>2026</v>
      </c>
      <c r="D142" s="3" t="s">
        <v>40</v>
      </c>
      <c r="E142" s="5" t="s">
        <v>248</v>
      </c>
      <c r="F142" s="3" t="s">
        <v>237</v>
      </c>
      <c r="H142" s="3" t="s">
        <v>222</v>
      </c>
      <c r="I142" s="3" t="s">
        <v>238</v>
      </c>
      <c r="K142" s="3" t="s">
        <v>147</v>
      </c>
      <c r="L142" s="3" t="s">
        <v>238</v>
      </c>
      <c r="O142" s="3">
        <v>71.0</v>
      </c>
      <c r="P142" s="3" t="s">
        <v>45</v>
      </c>
      <c r="Q142" s="3" t="s">
        <v>239</v>
      </c>
      <c r="R142" s="3" t="s">
        <v>148</v>
      </c>
      <c r="AI142" s="4" t="str">
        <f>HYPERLINK("https://www.senado.gob.ar/parlamentario/parlamentaria/ordenDelDiaResultadoLink/2026/58"," 58 2026 AP -")</f>
        <v> 58 2026 AP -</v>
      </c>
      <c r="AJ142" s="3" t="s">
        <v>225</v>
      </c>
      <c r="AK142" s="3" t="s">
        <v>48</v>
      </c>
      <c r="AM142" s="3" t="s">
        <v>222</v>
      </c>
    </row>
    <row r="143" ht="15.75" customHeight="1">
      <c r="A143" s="3" t="s">
        <v>39</v>
      </c>
      <c r="B143" s="4" t="str">
        <f>HYPERLINK("https://www.senado.gob.ar/parlamentario/comisiones/verExp/75.26/PE/AC","75")</f>
        <v>75</v>
      </c>
      <c r="C143" s="4" t="str">
        <f>HYPERLINK("https://www.senado.gob.ar/parlamentario/comisiones/verExp/75.26/PE/AC","2026")</f>
        <v>2026</v>
      </c>
      <c r="D143" s="3" t="s">
        <v>40</v>
      </c>
      <c r="E143" s="5" t="s">
        <v>249</v>
      </c>
      <c r="F143" s="3" t="s">
        <v>250</v>
      </c>
      <c r="H143" s="3" t="s">
        <v>222</v>
      </c>
      <c r="I143" s="3" t="s">
        <v>251</v>
      </c>
      <c r="K143" s="3" t="s">
        <v>142</v>
      </c>
      <c r="L143" s="3" t="s">
        <v>251</v>
      </c>
      <c r="O143" s="3">
        <v>71.0</v>
      </c>
      <c r="P143" s="3" t="s">
        <v>45</v>
      </c>
      <c r="Q143" s="3" t="s">
        <v>252</v>
      </c>
      <c r="R143" s="3" t="s">
        <v>143</v>
      </c>
      <c r="AI143" s="4" t="str">
        <f>HYPERLINK("https://www.senado.gob.ar/parlamentario/parlamentaria/ordenDelDiaResultadoLink/2026/81"," 81 2026 AP -")</f>
        <v> 81 2026 AP -</v>
      </c>
      <c r="AJ143" s="3" t="s">
        <v>225</v>
      </c>
      <c r="AK143" s="3" t="s">
        <v>48</v>
      </c>
      <c r="AM143" s="3" t="s">
        <v>222</v>
      </c>
    </row>
    <row r="144" ht="15.75" customHeight="1">
      <c r="A144" s="3" t="s">
        <v>39</v>
      </c>
      <c r="B144" s="4" t="str">
        <f>HYPERLINK("https://www.senado.gob.ar/parlamentario/comisiones/verExp/73.26/PE/AC","73")</f>
        <v>73</v>
      </c>
      <c r="C144" s="4" t="str">
        <f>HYPERLINK("https://www.senado.gob.ar/parlamentario/comisiones/verExp/73.26/PE/AC","2026")</f>
        <v>2026</v>
      </c>
      <c r="D144" s="3" t="s">
        <v>40</v>
      </c>
      <c r="E144" s="5" t="s">
        <v>253</v>
      </c>
      <c r="F144" s="3" t="s">
        <v>254</v>
      </c>
      <c r="H144" s="3" t="s">
        <v>222</v>
      </c>
      <c r="I144" s="3" t="s">
        <v>255</v>
      </c>
      <c r="K144" s="3" t="s">
        <v>147</v>
      </c>
      <c r="L144" s="3" t="s">
        <v>255</v>
      </c>
      <c r="O144" s="3">
        <v>71.0</v>
      </c>
      <c r="P144" s="3" t="s">
        <v>45</v>
      </c>
      <c r="Q144" s="3" t="s">
        <v>256</v>
      </c>
      <c r="R144" s="3" t="s">
        <v>148</v>
      </c>
      <c r="AI144" s="4" t="str">
        <f>HYPERLINK("https://www.senado.gob.ar/parlamentario/parlamentaria/ordenDelDiaResultadoLink/2026/57"," 57 2026 AP -")</f>
        <v> 57 2026 AP -</v>
      </c>
      <c r="AJ144" s="3" t="s">
        <v>225</v>
      </c>
      <c r="AK144" s="3" t="s">
        <v>48</v>
      </c>
      <c r="AM144" s="3" t="s">
        <v>222</v>
      </c>
    </row>
    <row r="145" ht="15.75" customHeight="1">
      <c r="A145" s="3" t="s">
        <v>39</v>
      </c>
      <c r="B145" s="4" t="str">
        <f>HYPERLINK("https://www.senado.gob.ar/parlamentario/comisiones/verExp/72.26/PE/AC","72")</f>
        <v>72</v>
      </c>
      <c r="C145" s="4" t="str">
        <f>HYPERLINK("https://www.senado.gob.ar/parlamentario/comisiones/verExp/72.26/PE/AC","2026")</f>
        <v>2026</v>
      </c>
      <c r="D145" s="3" t="s">
        <v>40</v>
      </c>
      <c r="E145" s="5" t="s">
        <v>257</v>
      </c>
      <c r="F145" s="3" t="s">
        <v>254</v>
      </c>
      <c r="H145" s="3" t="s">
        <v>222</v>
      </c>
      <c r="I145" s="3" t="s">
        <v>255</v>
      </c>
      <c r="K145" s="3" t="s">
        <v>137</v>
      </c>
      <c r="L145" s="3" t="s">
        <v>255</v>
      </c>
      <c r="O145" s="3">
        <v>71.0</v>
      </c>
      <c r="P145" s="3" t="s">
        <v>45</v>
      </c>
      <c r="Q145" s="3" t="s">
        <v>256</v>
      </c>
      <c r="R145" s="3" t="s">
        <v>138</v>
      </c>
      <c r="AI145" s="4" t="str">
        <f>HYPERLINK("https://www.senado.gob.ar/parlamentario/parlamentaria/ordenDelDiaResultadoLink/2026/92"," 92 2026 AP -")</f>
        <v> 92 2026 AP -</v>
      </c>
      <c r="AJ145" s="3" t="s">
        <v>225</v>
      </c>
      <c r="AK145" s="3" t="s">
        <v>48</v>
      </c>
      <c r="AM145" s="3" t="s">
        <v>222</v>
      </c>
    </row>
    <row r="146" ht="15.75" customHeight="1">
      <c r="A146" s="3" t="s">
        <v>39</v>
      </c>
      <c r="B146" s="4" t="str">
        <f>HYPERLINK("https://www.senado.gob.ar/parlamentario/comisiones/verExp/71.26/PE/AC","71")</f>
        <v>71</v>
      </c>
      <c r="C146" s="4" t="str">
        <f>HYPERLINK("https://www.senado.gob.ar/parlamentario/comisiones/verExp/71.26/PE/AC","2026")</f>
        <v>2026</v>
      </c>
      <c r="D146" s="3" t="s">
        <v>40</v>
      </c>
      <c r="E146" s="5" t="s">
        <v>258</v>
      </c>
      <c r="F146" s="3" t="s">
        <v>259</v>
      </c>
      <c r="H146" s="3" t="s">
        <v>222</v>
      </c>
      <c r="I146" s="3" t="s">
        <v>260</v>
      </c>
      <c r="K146" s="3" t="s">
        <v>142</v>
      </c>
      <c r="L146" s="3" t="s">
        <v>260</v>
      </c>
      <c r="O146" s="3">
        <v>71.0</v>
      </c>
      <c r="P146" s="3" t="s">
        <v>45</v>
      </c>
      <c r="Q146" s="3" t="s">
        <v>261</v>
      </c>
      <c r="R146" s="3" t="s">
        <v>143</v>
      </c>
      <c r="AI146" s="4" t="str">
        <f>HYPERLINK("https://www.senado.gob.ar/parlamentario/parlamentaria/ordenDelDiaResultadoLink/2026/80"," 80 2026 AP -")</f>
        <v> 80 2026 AP -</v>
      </c>
      <c r="AJ146" s="3" t="s">
        <v>225</v>
      </c>
      <c r="AK146" s="3" t="s">
        <v>48</v>
      </c>
      <c r="AM146" s="3" t="s">
        <v>222</v>
      </c>
    </row>
    <row r="147" ht="15.75" customHeight="1">
      <c r="A147" s="3" t="s">
        <v>39</v>
      </c>
      <c r="B147" s="4" t="str">
        <f>HYPERLINK("https://www.senado.gob.ar/parlamentario/comisiones/verExp/70.26/PE/AC","70")</f>
        <v>70</v>
      </c>
      <c r="C147" s="4" t="str">
        <f>HYPERLINK("https://www.senado.gob.ar/parlamentario/comisiones/verExp/70.26/PE/AC","2026")</f>
        <v>2026</v>
      </c>
      <c r="D147" s="3" t="s">
        <v>40</v>
      </c>
      <c r="E147" s="5" t="s">
        <v>262</v>
      </c>
      <c r="F147" s="3" t="s">
        <v>259</v>
      </c>
      <c r="H147" s="3" t="s">
        <v>222</v>
      </c>
      <c r="I147" s="3" t="s">
        <v>260</v>
      </c>
      <c r="K147" s="3" t="s">
        <v>142</v>
      </c>
      <c r="L147" s="3" t="s">
        <v>260</v>
      </c>
      <c r="O147" s="3">
        <v>71.0</v>
      </c>
      <c r="P147" s="3" t="s">
        <v>45</v>
      </c>
      <c r="Q147" s="3" t="s">
        <v>261</v>
      </c>
      <c r="R147" s="3" t="s">
        <v>143</v>
      </c>
      <c r="AI147" s="4" t="str">
        <f>HYPERLINK("https://www.senado.gob.ar/parlamentario/parlamentaria/ordenDelDiaResultadoLink/2026/79"," 79 2026 AP -")</f>
        <v> 79 2026 AP -</v>
      </c>
      <c r="AJ147" s="3" t="s">
        <v>225</v>
      </c>
      <c r="AK147" s="3" t="s">
        <v>48</v>
      </c>
      <c r="AM147" s="3" t="s">
        <v>222</v>
      </c>
    </row>
    <row r="148" ht="15.75" customHeight="1">
      <c r="A148" s="3" t="s">
        <v>39</v>
      </c>
      <c r="B148" s="4" t="str">
        <f>HYPERLINK("https://www.senado.gob.ar/parlamentario/comisiones/verExp/69.26/PE/AC","69")</f>
        <v>69</v>
      </c>
      <c r="C148" s="4" t="str">
        <f>HYPERLINK("https://www.senado.gob.ar/parlamentario/comisiones/verExp/69.26/PE/AC","2026")</f>
        <v>2026</v>
      </c>
      <c r="D148" s="3" t="s">
        <v>40</v>
      </c>
      <c r="E148" s="5" t="s">
        <v>263</v>
      </c>
      <c r="F148" s="3" t="s">
        <v>259</v>
      </c>
      <c r="H148" s="3" t="s">
        <v>222</v>
      </c>
      <c r="I148" s="3" t="s">
        <v>260</v>
      </c>
      <c r="K148" s="3" t="s">
        <v>142</v>
      </c>
      <c r="L148" s="3" t="s">
        <v>260</v>
      </c>
      <c r="O148" s="3">
        <v>71.0</v>
      </c>
      <c r="P148" s="3" t="s">
        <v>45</v>
      </c>
      <c r="Q148" s="3" t="s">
        <v>261</v>
      </c>
      <c r="R148" s="3" t="s">
        <v>143</v>
      </c>
      <c r="AI148" s="4" t="str">
        <f>HYPERLINK("https://www.senado.gob.ar/parlamentario/parlamentaria/ordenDelDiaResultadoLink/2026/78"," 78 2026 AP -")</f>
        <v> 78 2026 AP -</v>
      </c>
      <c r="AJ148" s="3" t="s">
        <v>225</v>
      </c>
      <c r="AK148" s="3" t="s">
        <v>48</v>
      </c>
      <c r="AM148" s="3" t="s">
        <v>222</v>
      </c>
    </row>
    <row r="149" ht="15.75" customHeight="1">
      <c r="A149" s="3" t="s">
        <v>39</v>
      </c>
      <c r="B149" s="4" t="str">
        <f>HYPERLINK("https://www.senado.gob.ar/parlamentario/comisiones/verExp/68.26/PE/AC","68")</f>
        <v>68</v>
      </c>
      <c r="C149" s="4" t="str">
        <f>HYPERLINK("https://www.senado.gob.ar/parlamentario/comisiones/verExp/68.26/PE/AC","2026")</f>
        <v>2026</v>
      </c>
      <c r="D149" s="3" t="s">
        <v>40</v>
      </c>
      <c r="E149" s="5" t="s">
        <v>264</v>
      </c>
      <c r="F149" s="3" t="s">
        <v>259</v>
      </c>
      <c r="H149" s="3" t="s">
        <v>222</v>
      </c>
      <c r="I149" s="3" t="s">
        <v>260</v>
      </c>
      <c r="K149" s="3" t="s">
        <v>142</v>
      </c>
      <c r="L149" s="3" t="s">
        <v>260</v>
      </c>
      <c r="O149" s="3">
        <v>71.0</v>
      </c>
      <c r="P149" s="3" t="s">
        <v>45</v>
      </c>
      <c r="Q149" s="3" t="s">
        <v>261</v>
      </c>
      <c r="R149" s="3" t="s">
        <v>143</v>
      </c>
      <c r="AI149" s="4" t="str">
        <f>HYPERLINK("https://www.senado.gob.ar/parlamentario/parlamentaria/ordenDelDiaResultadoLink/2026/77"," 77 2026 AP -")</f>
        <v> 77 2026 AP -</v>
      </c>
      <c r="AJ149" s="3" t="s">
        <v>225</v>
      </c>
      <c r="AK149" s="3" t="s">
        <v>48</v>
      </c>
      <c r="AM149" s="3" t="s">
        <v>222</v>
      </c>
    </row>
    <row r="150" ht="15.75" customHeight="1">
      <c r="A150" s="3" t="s">
        <v>39</v>
      </c>
      <c r="B150" s="4" t="str">
        <f>HYPERLINK("https://www.senado.gob.ar/parlamentario/comisiones/verExp/67.26/PE/AC","67")</f>
        <v>67</v>
      </c>
      <c r="C150" s="4" t="str">
        <f>HYPERLINK("https://www.senado.gob.ar/parlamentario/comisiones/verExp/67.26/PE/AC","2026")</f>
        <v>2026</v>
      </c>
      <c r="D150" s="3" t="s">
        <v>40</v>
      </c>
      <c r="E150" s="5" t="s">
        <v>265</v>
      </c>
      <c r="F150" s="3" t="s">
        <v>259</v>
      </c>
      <c r="H150" s="3" t="s">
        <v>222</v>
      </c>
      <c r="I150" s="3" t="s">
        <v>260</v>
      </c>
      <c r="K150" s="3" t="s">
        <v>142</v>
      </c>
      <c r="L150" s="3" t="s">
        <v>260</v>
      </c>
      <c r="O150" s="3">
        <v>71.0</v>
      </c>
      <c r="P150" s="3" t="s">
        <v>45</v>
      </c>
      <c r="Q150" s="3" t="s">
        <v>261</v>
      </c>
      <c r="R150" s="3" t="s">
        <v>143</v>
      </c>
      <c r="AI150" s="4" t="str">
        <f>HYPERLINK("https://www.senado.gob.ar/parlamentario/parlamentaria/ordenDelDiaResultadoLink/2026/76"," 76 2026 AP -")</f>
        <v> 76 2026 AP -</v>
      </c>
      <c r="AJ150" s="3" t="s">
        <v>225</v>
      </c>
      <c r="AK150" s="3" t="s">
        <v>48</v>
      </c>
      <c r="AM150" s="3" t="s">
        <v>222</v>
      </c>
    </row>
    <row r="151" ht="15.75" customHeight="1">
      <c r="A151" s="3" t="s">
        <v>39</v>
      </c>
      <c r="B151" s="4" t="str">
        <f>HYPERLINK("https://www.senado.gob.ar/parlamentario/comisiones/verExp/66.26/PE/AC","66")</f>
        <v>66</v>
      </c>
      <c r="C151" s="4" t="str">
        <f>HYPERLINK("https://www.senado.gob.ar/parlamentario/comisiones/verExp/66.26/PE/AC","2026")</f>
        <v>2026</v>
      </c>
      <c r="D151" s="3" t="s">
        <v>40</v>
      </c>
      <c r="E151" s="5" t="s">
        <v>266</v>
      </c>
      <c r="F151" s="3" t="s">
        <v>259</v>
      </c>
      <c r="H151" s="3" t="s">
        <v>222</v>
      </c>
      <c r="I151" s="3" t="s">
        <v>260</v>
      </c>
      <c r="K151" s="3" t="s">
        <v>137</v>
      </c>
      <c r="L151" s="3" t="s">
        <v>260</v>
      </c>
      <c r="O151" s="3">
        <v>71.0</v>
      </c>
      <c r="P151" s="3" t="s">
        <v>45</v>
      </c>
      <c r="Q151" s="3" t="s">
        <v>261</v>
      </c>
      <c r="R151" s="3" t="s">
        <v>138</v>
      </c>
      <c r="AI151" s="4" t="str">
        <f>HYPERLINK("https://www.senado.gob.ar/parlamentario/parlamentaria/ordenDelDiaResultadoLink/2026/91"," 91 2026 AP -")</f>
        <v> 91 2026 AP -</v>
      </c>
      <c r="AJ151" s="3" t="s">
        <v>225</v>
      </c>
      <c r="AK151" s="3" t="s">
        <v>48</v>
      </c>
      <c r="AM151" s="3" t="s">
        <v>222</v>
      </c>
    </row>
    <row r="152" ht="15.75" customHeight="1">
      <c r="A152" s="3" t="s">
        <v>39</v>
      </c>
      <c r="B152" s="4" t="str">
        <f>HYPERLINK("https://www.senado.gob.ar/parlamentario/comisiones/verExp/65.26/PE/AC","65")</f>
        <v>65</v>
      </c>
      <c r="C152" s="4" t="str">
        <f>HYPERLINK("https://www.senado.gob.ar/parlamentario/comisiones/verExp/65.26/PE/AC","2026")</f>
        <v>2026</v>
      </c>
      <c r="D152" s="3" t="s">
        <v>40</v>
      </c>
      <c r="E152" s="5" t="s">
        <v>267</v>
      </c>
      <c r="F152" s="3" t="s">
        <v>259</v>
      </c>
      <c r="H152" s="3" t="s">
        <v>222</v>
      </c>
      <c r="I152" s="3" t="s">
        <v>260</v>
      </c>
      <c r="K152" s="3" t="s">
        <v>142</v>
      </c>
      <c r="L152" s="3" t="s">
        <v>260</v>
      </c>
      <c r="O152" s="3">
        <v>71.0</v>
      </c>
      <c r="P152" s="3" t="s">
        <v>45</v>
      </c>
      <c r="Q152" s="3" t="s">
        <v>261</v>
      </c>
      <c r="R152" s="3" t="s">
        <v>143</v>
      </c>
      <c r="AI152" s="4" t="str">
        <f>HYPERLINK("https://www.senado.gob.ar/parlamentario/parlamentaria/ordenDelDiaResultadoLink/2026/75"," 75 2026 AP -")</f>
        <v> 75 2026 AP -</v>
      </c>
      <c r="AJ152" s="3" t="s">
        <v>225</v>
      </c>
      <c r="AK152" s="3" t="s">
        <v>48</v>
      </c>
      <c r="AM152" s="3" t="s">
        <v>222</v>
      </c>
    </row>
    <row r="153" ht="15.75" customHeight="1">
      <c r="A153" s="3" t="s">
        <v>39</v>
      </c>
      <c r="B153" s="4" t="str">
        <f>HYPERLINK("https://www.senado.gob.ar/parlamentario/comisiones/verExp/64.26/PE/AC","64")</f>
        <v>64</v>
      </c>
      <c r="C153" s="4" t="str">
        <f>HYPERLINK("https://www.senado.gob.ar/parlamentario/comisiones/verExp/64.26/PE/AC","2026")</f>
        <v>2026</v>
      </c>
      <c r="D153" s="3" t="s">
        <v>40</v>
      </c>
      <c r="E153" s="5" t="s">
        <v>268</v>
      </c>
      <c r="F153" s="3" t="s">
        <v>259</v>
      </c>
      <c r="H153" s="3" t="s">
        <v>222</v>
      </c>
      <c r="I153" s="3" t="s">
        <v>260</v>
      </c>
      <c r="K153" s="3" t="s">
        <v>142</v>
      </c>
      <c r="L153" s="3" t="s">
        <v>260</v>
      </c>
      <c r="O153" s="3">
        <v>71.0</v>
      </c>
      <c r="P153" s="3" t="s">
        <v>45</v>
      </c>
      <c r="Q153" s="3" t="s">
        <v>261</v>
      </c>
      <c r="R153" s="3" t="s">
        <v>143</v>
      </c>
      <c r="AI153" s="4" t="str">
        <f>HYPERLINK("https://www.senado.gob.ar/parlamentario/parlamentaria/ordenDelDiaResultadoLink/2026/74"," 74 2026 AP -")</f>
        <v> 74 2026 AP -</v>
      </c>
      <c r="AJ153" s="3" t="s">
        <v>225</v>
      </c>
      <c r="AK153" s="3" t="s">
        <v>48</v>
      </c>
      <c r="AM153" s="3" t="s">
        <v>222</v>
      </c>
    </row>
    <row r="154" ht="15.75" customHeight="1">
      <c r="A154" s="3" t="s">
        <v>39</v>
      </c>
      <c r="B154" s="4" t="str">
        <f>HYPERLINK("https://www.senado.gob.ar/parlamentario/comisiones/verExp/63.26/PE/AC","63")</f>
        <v>63</v>
      </c>
      <c r="C154" s="4" t="str">
        <f>HYPERLINK("https://www.senado.gob.ar/parlamentario/comisiones/verExp/63.26/PE/AC","2026")</f>
        <v>2026</v>
      </c>
      <c r="D154" s="3" t="s">
        <v>40</v>
      </c>
      <c r="E154" s="5" t="s">
        <v>269</v>
      </c>
      <c r="F154" s="3" t="s">
        <v>259</v>
      </c>
      <c r="H154" s="3" t="s">
        <v>222</v>
      </c>
      <c r="I154" s="3" t="s">
        <v>260</v>
      </c>
      <c r="K154" s="3" t="s">
        <v>142</v>
      </c>
      <c r="L154" s="3" t="s">
        <v>260</v>
      </c>
      <c r="O154" s="3">
        <v>71.0</v>
      </c>
      <c r="P154" s="3" t="s">
        <v>45</v>
      </c>
      <c r="Q154" s="3" t="s">
        <v>261</v>
      </c>
      <c r="R154" s="3" t="s">
        <v>143</v>
      </c>
      <c r="AI154" s="4" t="str">
        <f>HYPERLINK("https://www.senado.gob.ar/parlamentario/parlamentaria/ordenDelDiaResultadoLink/2026/73"," 73 2026 AP -")</f>
        <v> 73 2026 AP -</v>
      </c>
      <c r="AJ154" s="3" t="s">
        <v>225</v>
      </c>
      <c r="AK154" s="3" t="s">
        <v>48</v>
      </c>
      <c r="AM154" s="3" t="s">
        <v>222</v>
      </c>
    </row>
    <row r="155" ht="15.75" customHeight="1">
      <c r="A155" s="3" t="s">
        <v>39</v>
      </c>
      <c r="B155" s="4" t="str">
        <f>HYPERLINK("https://www.senado.gob.ar/parlamentario/comisiones/verExp/62.26/PE/AC","62")</f>
        <v>62</v>
      </c>
      <c r="C155" s="4" t="str">
        <f>HYPERLINK("https://www.senado.gob.ar/parlamentario/comisiones/verExp/62.26/PE/AC","2026")</f>
        <v>2026</v>
      </c>
      <c r="D155" s="3" t="s">
        <v>40</v>
      </c>
      <c r="E155" s="5" t="s">
        <v>270</v>
      </c>
      <c r="F155" s="3" t="s">
        <v>259</v>
      </c>
      <c r="H155" s="3" t="s">
        <v>222</v>
      </c>
      <c r="I155" s="3" t="s">
        <v>260</v>
      </c>
      <c r="K155" s="3" t="s">
        <v>142</v>
      </c>
      <c r="L155" s="3" t="s">
        <v>260</v>
      </c>
      <c r="O155" s="3">
        <v>71.0</v>
      </c>
      <c r="P155" s="3" t="s">
        <v>45</v>
      </c>
      <c r="Q155" s="3" t="s">
        <v>261</v>
      </c>
      <c r="R155" s="3" t="s">
        <v>143</v>
      </c>
      <c r="AI155" s="4" t="str">
        <f>HYPERLINK("https://www.senado.gob.ar/parlamentario/parlamentaria/ordenDelDiaResultadoLink/2026/72"," 72 2026 AP -")</f>
        <v> 72 2026 AP -</v>
      </c>
      <c r="AJ155" s="3" t="s">
        <v>225</v>
      </c>
      <c r="AK155" s="3" t="s">
        <v>48</v>
      </c>
      <c r="AM155" s="3" t="s">
        <v>222</v>
      </c>
    </row>
    <row r="156" ht="15.75" customHeight="1">
      <c r="A156" s="3" t="s">
        <v>39</v>
      </c>
      <c r="B156" s="4" t="str">
        <f>HYPERLINK("https://www.senado.gob.ar/parlamentario/comisiones/verExp/61.26/PE/AC","61")</f>
        <v>61</v>
      </c>
      <c r="C156" s="4" t="str">
        <f>HYPERLINK("https://www.senado.gob.ar/parlamentario/comisiones/verExp/61.26/PE/AC","2026")</f>
        <v>2026</v>
      </c>
      <c r="D156" s="3" t="s">
        <v>40</v>
      </c>
      <c r="E156" s="5" t="s">
        <v>271</v>
      </c>
      <c r="F156" s="3" t="s">
        <v>259</v>
      </c>
      <c r="H156" s="3" t="s">
        <v>222</v>
      </c>
      <c r="I156" s="3" t="s">
        <v>260</v>
      </c>
      <c r="K156" s="3" t="s">
        <v>142</v>
      </c>
      <c r="L156" s="3" t="s">
        <v>260</v>
      </c>
      <c r="O156" s="3">
        <v>71.0</v>
      </c>
      <c r="P156" s="3" t="s">
        <v>45</v>
      </c>
      <c r="Q156" s="3" t="s">
        <v>261</v>
      </c>
      <c r="R156" s="3" t="s">
        <v>143</v>
      </c>
      <c r="AI156" s="4" t="str">
        <f>HYPERLINK("https://www.senado.gob.ar/parlamentario/parlamentaria/ordenDelDiaResultadoLink/2026/71"," 71 2026 AP -")</f>
        <v> 71 2026 AP -</v>
      </c>
      <c r="AJ156" s="3" t="s">
        <v>225</v>
      </c>
      <c r="AK156" s="3" t="s">
        <v>48</v>
      </c>
      <c r="AM156" s="3" t="s">
        <v>222</v>
      </c>
    </row>
    <row r="157" ht="15.75" customHeight="1">
      <c r="A157" s="3" t="s">
        <v>39</v>
      </c>
      <c r="B157" s="4" t="str">
        <f>HYPERLINK("https://www.senado.gob.ar/parlamentario/comisiones/verExp/60.26/PE/AC","60")</f>
        <v>60</v>
      </c>
      <c r="C157" s="4" t="str">
        <f>HYPERLINK("https://www.senado.gob.ar/parlamentario/comisiones/verExp/60.26/PE/AC","2026")</f>
        <v>2026</v>
      </c>
      <c r="D157" s="3" t="s">
        <v>40</v>
      </c>
      <c r="E157" s="5" t="s">
        <v>272</v>
      </c>
      <c r="F157" s="3" t="s">
        <v>259</v>
      </c>
      <c r="H157" s="3" t="s">
        <v>222</v>
      </c>
      <c r="I157" s="3" t="s">
        <v>260</v>
      </c>
      <c r="K157" s="3" t="s">
        <v>142</v>
      </c>
      <c r="L157" s="3" t="s">
        <v>260</v>
      </c>
      <c r="O157" s="3">
        <v>71.0</v>
      </c>
      <c r="P157" s="3" t="s">
        <v>45</v>
      </c>
      <c r="Q157" s="3" t="s">
        <v>261</v>
      </c>
      <c r="R157" s="3" t="s">
        <v>143</v>
      </c>
      <c r="AI157" s="4" t="str">
        <f>HYPERLINK("https://www.senado.gob.ar/parlamentario/parlamentaria/ordenDelDiaResultadoLink/2026/70"," 70 2026 AP -")</f>
        <v> 70 2026 AP -</v>
      </c>
      <c r="AJ157" s="3" t="s">
        <v>225</v>
      </c>
      <c r="AK157" s="3" t="s">
        <v>48</v>
      </c>
      <c r="AM157" s="3" t="s">
        <v>222</v>
      </c>
    </row>
    <row r="158" ht="15.75" customHeight="1">
      <c r="A158" s="3" t="s">
        <v>39</v>
      </c>
      <c r="B158" s="4" t="str">
        <f>HYPERLINK("https://www.senado.gob.ar/parlamentario/comisiones/verExp/59.26/PE/AC","59")</f>
        <v>59</v>
      </c>
      <c r="C158" s="4" t="str">
        <f>HYPERLINK("https://www.senado.gob.ar/parlamentario/comisiones/verExp/59.26/PE/AC","2026")</f>
        <v>2026</v>
      </c>
      <c r="D158" s="3" t="s">
        <v>40</v>
      </c>
      <c r="E158" s="5" t="s">
        <v>273</v>
      </c>
      <c r="F158" s="3" t="s">
        <v>274</v>
      </c>
      <c r="H158" s="3" t="s">
        <v>222</v>
      </c>
      <c r="I158" s="3" t="s">
        <v>275</v>
      </c>
      <c r="K158" s="3" t="s">
        <v>142</v>
      </c>
      <c r="L158" s="3" t="s">
        <v>275</v>
      </c>
      <c r="O158" s="3">
        <v>71.0</v>
      </c>
      <c r="P158" s="3" t="s">
        <v>45</v>
      </c>
      <c r="Q158" s="3" t="s">
        <v>276</v>
      </c>
      <c r="R158" s="3" t="s">
        <v>143</v>
      </c>
      <c r="AI158" s="4" t="str">
        <f>HYPERLINK("https://www.senado.gob.ar/parlamentario/parlamentaria/ordenDelDiaResultadoLink/2026/69"," 69 2026 AP -")</f>
        <v> 69 2026 AP -</v>
      </c>
      <c r="AJ158" s="3" t="s">
        <v>225</v>
      </c>
      <c r="AK158" s="3" t="s">
        <v>48</v>
      </c>
      <c r="AM158" s="3" t="s">
        <v>222</v>
      </c>
    </row>
    <row r="159" ht="15.75" customHeight="1">
      <c r="A159" s="3" t="s">
        <v>39</v>
      </c>
      <c r="B159" s="4" t="str">
        <f>HYPERLINK("https://www.senado.gob.ar/parlamentario/comisiones/verExp/58.26/PE/AC","58")</f>
        <v>58</v>
      </c>
      <c r="C159" s="4" t="str">
        <f>HYPERLINK("https://www.senado.gob.ar/parlamentario/comisiones/verExp/58.26/PE/AC","2026")</f>
        <v>2026</v>
      </c>
      <c r="D159" s="3" t="s">
        <v>40</v>
      </c>
      <c r="E159" s="5" t="s">
        <v>277</v>
      </c>
      <c r="F159" s="3" t="s">
        <v>274</v>
      </c>
      <c r="H159" s="3" t="s">
        <v>222</v>
      </c>
      <c r="I159" s="3" t="s">
        <v>275</v>
      </c>
      <c r="K159" s="3" t="s">
        <v>137</v>
      </c>
      <c r="L159" s="3" t="s">
        <v>275</v>
      </c>
      <c r="O159" s="3">
        <v>71.0</v>
      </c>
      <c r="P159" s="3" t="s">
        <v>45</v>
      </c>
      <c r="Q159" s="3" t="s">
        <v>276</v>
      </c>
      <c r="R159" s="3" t="s">
        <v>138</v>
      </c>
      <c r="AI159" s="4" t="str">
        <f>HYPERLINK("https://www.senado.gob.ar/parlamentario/parlamentaria/ordenDelDiaResultadoLink/2026/90"," 90 2026 AP -")</f>
        <v> 90 2026 AP -</v>
      </c>
      <c r="AJ159" s="3" t="s">
        <v>225</v>
      </c>
      <c r="AK159" s="3" t="s">
        <v>48</v>
      </c>
      <c r="AM159" s="3" t="s">
        <v>222</v>
      </c>
    </row>
    <row r="160" ht="15.75" customHeight="1">
      <c r="A160" s="3" t="s">
        <v>39</v>
      </c>
      <c r="B160" s="4" t="str">
        <f>HYPERLINK("https://www.senado.gob.ar/parlamentario/comisiones/verExp/57.26/PE/AC","57")</f>
        <v>57</v>
      </c>
      <c r="C160" s="4" t="str">
        <f>HYPERLINK("https://www.senado.gob.ar/parlamentario/comisiones/verExp/57.26/PE/AC","2026")</f>
        <v>2026</v>
      </c>
      <c r="D160" s="3" t="s">
        <v>40</v>
      </c>
      <c r="E160" s="5" t="s">
        <v>278</v>
      </c>
      <c r="F160" s="3" t="s">
        <v>274</v>
      </c>
      <c r="H160" s="3" t="s">
        <v>222</v>
      </c>
      <c r="I160" s="3" t="s">
        <v>275</v>
      </c>
      <c r="K160" s="3" t="s">
        <v>142</v>
      </c>
      <c r="L160" s="3" t="s">
        <v>275</v>
      </c>
      <c r="O160" s="3">
        <v>71.0</v>
      </c>
      <c r="P160" s="3" t="s">
        <v>45</v>
      </c>
      <c r="Q160" s="3" t="s">
        <v>276</v>
      </c>
      <c r="R160" s="3" t="s">
        <v>143</v>
      </c>
      <c r="AI160" s="4" t="str">
        <f>HYPERLINK("https://www.senado.gob.ar/parlamentario/parlamentaria/ordenDelDiaResultadoLink/2026/68"," 68 2026 AP -")</f>
        <v> 68 2026 AP -</v>
      </c>
      <c r="AJ160" s="3" t="s">
        <v>225</v>
      </c>
      <c r="AK160" s="3" t="s">
        <v>48</v>
      </c>
      <c r="AM160" s="3" t="s">
        <v>222</v>
      </c>
    </row>
    <row r="161" ht="15.75" customHeight="1">
      <c r="A161" s="3" t="s">
        <v>39</v>
      </c>
      <c r="B161" s="4" t="str">
        <f>HYPERLINK("https://www.senado.gob.ar/parlamentario/comisiones/verExp/56.26/PE/AC","56")</f>
        <v>56</v>
      </c>
      <c r="C161" s="4" t="str">
        <f>HYPERLINK("https://www.senado.gob.ar/parlamentario/comisiones/verExp/56.26/PE/AC","2026")</f>
        <v>2026</v>
      </c>
      <c r="D161" s="3" t="s">
        <v>40</v>
      </c>
      <c r="E161" s="5" t="s">
        <v>279</v>
      </c>
      <c r="F161" s="3" t="s">
        <v>274</v>
      </c>
      <c r="H161" s="3" t="s">
        <v>222</v>
      </c>
      <c r="I161" s="3" t="s">
        <v>275</v>
      </c>
      <c r="K161" s="3" t="s">
        <v>142</v>
      </c>
      <c r="L161" s="3" t="s">
        <v>275</v>
      </c>
      <c r="O161" s="3">
        <v>71.0</v>
      </c>
      <c r="P161" s="3" t="s">
        <v>45</v>
      </c>
      <c r="Q161" s="3" t="s">
        <v>276</v>
      </c>
      <c r="R161" s="3" t="s">
        <v>143</v>
      </c>
      <c r="AI161" s="4" t="str">
        <f>HYPERLINK("https://www.senado.gob.ar/parlamentario/parlamentaria/ordenDelDiaResultadoLink/2026/67"," 67 2026 AP -")</f>
        <v> 67 2026 AP -</v>
      </c>
      <c r="AJ161" s="3" t="s">
        <v>225</v>
      </c>
      <c r="AK161" s="3" t="s">
        <v>48</v>
      </c>
      <c r="AM161" s="3" t="s">
        <v>222</v>
      </c>
    </row>
    <row r="162" ht="15.75" customHeight="1">
      <c r="A162" s="3" t="s">
        <v>39</v>
      </c>
      <c r="B162" s="4" t="str">
        <f>HYPERLINK("https://www.senado.gob.ar/parlamentario/comisiones/verExp/55.26/PE/AC","55")</f>
        <v>55</v>
      </c>
      <c r="C162" s="4" t="str">
        <f>HYPERLINK("https://www.senado.gob.ar/parlamentario/comisiones/verExp/55.26/PE/AC","2026")</f>
        <v>2026</v>
      </c>
      <c r="D162" s="3" t="s">
        <v>40</v>
      </c>
      <c r="E162" s="5" t="s">
        <v>280</v>
      </c>
      <c r="F162" s="3" t="s">
        <v>274</v>
      </c>
      <c r="H162" s="3" t="s">
        <v>222</v>
      </c>
      <c r="I162" s="3" t="s">
        <v>275</v>
      </c>
      <c r="K162" s="3" t="s">
        <v>147</v>
      </c>
      <c r="L162" s="3" t="s">
        <v>275</v>
      </c>
      <c r="O162" s="3">
        <v>71.0</v>
      </c>
      <c r="P162" s="3" t="s">
        <v>45</v>
      </c>
      <c r="Q162" s="3" t="s">
        <v>276</v>
      </c>
      <c r="R162" s="3" t="s">
        <v>148</v>
      </c>
      <c r="AI162" s="4" t="str">
        <f>HYPERLINK("https://www.senado.gob.ar/parlamentario/parlamentaria/ordenDelDiaResultadoLink/2026/56"," 56 2026 AP -")</f>
        <v> 56 2026 AP -</v>
      </c>
      <c r="AJ162" s="3" t="s">
        <v>225</v>
      </c>
      <c r="AK162" s="3" t="s">
        <v>48</v>
      </c>
      <c r="AM162" s="3" t="s">
        <v>222</v>
      </c>
    </row>
    <row r="163" ht="15.75" customHeight="1">
      <c r="A163" s="3" t="s">
        <v>39</v>
      </c>
      <c r="B163" s="4" t="str">
        <f>HYPERLINK("https://www.senado.gob.ar/parlamentario/comisiones/verExp/54.26/PE/AC","54")</f>
        <v>54</v>
      </c>
      <c r="C163" s="4" t="str">
        <f>HYPERLINK("https://www.senado.gob.ar/parlamentario/comisiones/verExp/54.26/PE/AC","2026")</f>
        <v>2026</v>
      </c>
      <c r="D163" s="3" t="s">
        <v>40</v>
      </c>
      <c r="E163" s="5" t="s">
        <v>281</v>
      </c>
      <c r="F163" s="3" t="s">
        <v>274</v>
      </c>
      <c r="H163" s="3" t="s">
        <v>222</v>
      </c>
      <c r="I163" s="3" t="s">
        <v>275</v>
      </c>
      <c r="K163" s="3" t="s">
        <v>142</v>
      </c>
      <c r="L163" s="3" t="s">
        <v>275</v>
      </c>
      <c r="O163" s="3">
        <v>71.0</v>
      </c>
      <c r="P163" s="3" t="s">
        <v>45</v>
      </c>
      <c r="Q163" s="3" t="s">
        <v>276</v>
      </c>
      <c r="R163" s="3" t="s">
        <v>143</v>
      </c>
      <c r="AI163" s="4" t="str">
        <f>HYPERLINK("https://www.senado.gob.ar/parlamentario/parlamentaria/ordenDelDiaResultadoLink/2026/66"," 66 2026 AP -")</f>
        <v> 66 2026 AP -</v>
      </c>
      <c r="AJ163" s="3" t="s">
        <v>225</v>
      </c>
      <c r="AK163" s="3" t="s">
        <v>48</v>
      </c>
      <c r="AM163" s="3" t="s">
        <v>222</v>
      </c>
    </row>
    <row r="164" ht="15.75" customHeight="1">
      <c r="A164" s="3" t="s">
        <v>39</v>
      </c>
      <c r="B164" s="4" t="str">
        <f>HYPERLINK("https://www.senado.gob.ar/parlamentario/comisiones/verExp/53.26/PE/AC","53")</f>
        <v>53</v>
      </c>
      <c r="C164" s="4" t="str">
        <f>HYPERLINK("https://www.senado.gob.ar/parlamentario/comisiones/verExp/53.26/PE/AC","2026")</f>
        <v>2026</v>
      </c>
      <c r="D164" s="3" t="s">
        <v>40</v>
      </c>
      <c r="E164" s="5" t="s">
        <v>282</v>
      </c>
      <c r="F164" s="3" t="s">
        <v>274</v>
      </c>
      <c r="H164" s="3" t="s">
        <v>222</v>
      </c>
      <c r="I164" s="3" t="s">
        <v>275</v>
      </c>
      <c r="K164" s="3" t="s">
        <v>142</v>
      </c>
      <c r="L164" s="3" t="s">
        <v>275</v>
      </c>
      <c r="O164" s="3">
        <v>71.0</v>
      </c>
      <c r="P164" s="3" t="s">
        <v>45</v>
      </c>
      <c r="Q164" s="3" t="s">
        <v>276</v>
      </c>
      <c r="R164" s="3" t="s">
        <v>143</v>
      </c>
      <c r="AI164" s="4" t="str">
        <f>HYPERLINK("https://www.senado.gob.ar/parlamentario/parlamentaria/ordenDelDiaResultadoLink/2026/65"," 65 2026 AP -")</f>
        <v> 65 2026 AP -</v>
      </c>
      <c r="AJ164" s="3" t="s">
        <v>225</v>
      </c>
      <c r="AK164" s="3" t="s">
        <v>48</v>
      </c>
      <c r="AM164" s="3" t="s">
        <v>222</v>
      </c>
    </row>
    <row r="165" ht="15.75" customHeight="1">
      <c r="A165" s="3" t="s">
        <v>39</v>
      </c>
      <c r="B165" s="4" t="str">
        <f>HYPERLINK("https://www.senado.gob.ar/parlamentario/comisiones/verExp/52.26/PE/AC","52")</f>
        <v>52</v>
      </c>
      <c r="C165" s="4" t="str">
        <f>HYPERLINK("https://www.senado.gob.ar/parlamentario/comisiones/verExp/52.26/PE/AC","2026")</f>
        <v>2026</v>
      </c>
      <c r="D165" s="3" t="s">
        <v>40</v>
      </c>
      <c r="E165" s="5" t="s">
        <v>283</v>
      </c>
      <c r="F165" s="3" t="s">
        <v>274</v>
      </c>
      <c r="H165" s="3" t="s">
        <v>222</v>
      </c>
      <c r="I165" s="3" t="s">
        <v>275</v>
      </c>
      <c r="K165" s="3" t="s">
        <v>142</v>
      </c>
      <c r="L165" s="3" t="s">
        <v>275</v>
      </c>
      <c r="O165" s="3">
        <v>71.0</v>
      </c>
      <c r="P165" s="3" t="s">
        <v>45</v>
      </c>
      <c r="Q165" s="3" t="s">
        <v>276</v>
      </c>
      <c r="R165" s="3" t="s">
        <v>143</v>
      </c>
      <c r="AI165" s="4" t="str">
        <f>HYPERLINK("https://www.senado.gob.ar/parlamentario/parlamentaria/ordenDelDiaResultadoLink/2026/64"," 64 2026 AP -")</f>
        <v> 64 2026 AP -</v>
      </c>
      <c r="AJ165" s="3" t="s">
        <v>225</v>
      </c>
      <c r="AK165" s="3" t="s">
        <v>48</v>
      </c>
      <c r="AM165" s="3" t="s">
        <v>222</v>
      </c>
    </row>
    <row r="166" ht="15.75" customHeight="1">
      <c r="A166" s="3" t="s">
        <v>39</v>
      </c>
      <c r="B166" s="4" t="str">
        <f>HYPERLINK("https://www.senado.gob.ar/parlamentario/comisiones/verExp/51.26/PE/AC","51")</f>
        <v>51</v>
      </c>
      <c r="C166" s="4" t="str">
        <f>HYPERLINK("https://www.senado.gob.ar/parlamentario/comisiones/verExp/51.26/PE/AC","2026")</f>
        <v>2026</v>
      </c>
      <c r="D166" s="3" t="s">
        <v>40</v>
      </c>
      <c r="E166" s="5" t="s">
        <v>284</v>
      </c>
      <c r="F166" s="3" t="s">
        <v>274</v>
      </c>
      <c r="H166" s="3" t="s">
        <v>222</v>
      </c>
      <c r="I166" s="3" t="s">
        <v>275</v>
      </c>
      <c r="K166" s="3" t="s">
        <v>147</v>
      </c>
      <c r="L166" s="3" t="s">
        <v>275</v>
      </c>
      <c r="O166" s="3">
        <v>71.0</v>
      </c>
      <c r="P166" s="3" t="s">
        <v>45</v>
      </c>
      <c r="Q166" s="3" t="s">
        <v>276</v>
      </c>
      <c r="R166" s="3" t="s">
        <v>148</v>
      </c>
      <c r="AI166" s="4" t="str">
        <f>HYPERLINK("https://www.senado.gob.ar/parlamentario/parlamentaria/ordenDelDiaResultadoLink/2026/55"," 55 2026 AP -")</f>
        <v> 55 2026 AP -</v>
      </c>
      <c r="AJ166" s="3" t="s">
        <v>225</v>
      </c>
      <c r="AK166" s="3" t="s">
        <v>48</v>
      </c>
      <c r="AM166" s="3" t="s">
        <v>222</v>
      </c>
    </row>
    <row r="167" ht="15.75" customHeight="1">
      <c r="A167" s="3" t="s">
        <v>39</v>
      </c>
      <c r="B167" s="4" t="str">
        <f>HYPERLINK("https://www.senado.gob.ar/parlamentario/comisiones/verExp/50.26/PE/AC","50")</f>
        <v>50</v>
      </c>
      <c r="C167" s="4" t="str">
        <f>HYPERLINK("https://www.senado.gob.ar/parlamentario/comisiones/verExp/50.26/PE/AC","2026")</f>
        <v>2026</v>
      </c>
      <c r="D167" s="3" t="s">
        <v>40</v>
      </c>
      <c r="E167" s="5" t="s">
        <v>285</v>
      </c>
      <c r="F167" s="3" t="s">
        <v>274</v>
      </c>
      <c r="H167" s="3" t="s">
        <v>222</v>
      </c>
      <c r="I167" s="3" t="s">
        <v>275</v>
      </c>
      <c r="K167" s="3" t="s">
        <v>147</v>
      </c>
      <c r="L167" s="3" t="s">
        <v>275</v>
      </c>
      <c r="O167" s="3">
        <v>71.0</v>
      </c>
      <c r="P167" s="3" t="s">
        <v>45</v>
      </c>
      <c r="Q167" s="3" t="s">
        <v>276</v>
      </c>
      <c r="R167" s="3" t="s">
        <v>148</v>
      </c>
      <c r="AI167" s="4" t="str">
        <f>HYPERLINK("https://www.senado.gob.ar/parlamentario/parlamentaria/ordenDelDiaResultadoLink/2026/54"," 54 2026 AP -")</f>
        <v> 54 2026 AP -</v>
      </c>
      <c r="AJ167" s="3" t="s">
        <v>225</v>
      </c>
      <c r="AK167" s="3" t="s">
        <v>48</v>
      </c>
      <c r="AM167" s="3" t="s">
        <v>222</v>
      </c>
    </row>
    <row r="168" ht="15.75" customHeight="1">
      <c r="A168" s="3" t="s">
        <v>39</v>
      </c>
      <c r="B168" s="4" t="str">
        <f>HYPERLINK("https://www.senado.gob.ar/parlamentario/comisiones/verExp/49.26/PE/AC","49")</f>
        <v>49</v>
      </c>
      <c r="C168" s="4" t="str">
        <f>HYPERLINK("https://www.senado.gob.ar/parlamentario/comisiones/verExp/49.26/PE/AC","2026")</f>
        <v>2026</v>
      </c>
      <c r="D168" s="3" t="s">
        <v>40</v>
      </c>
      <c r="E168" s="5" t="s">
        <v>286</v>
      </c>
      <c r="F168" s="3" t="s">
        <v>274</v>
      </c>
      <c r="H168" s="3" t="s">
        <v>222</v>
      </c>
      <c r="I168" s="3" t="s">
        <v>275</v>
      </c>
      <c r="K168" s="3" t="s">
        <v>147</v>
      </c>
      <c r="L168" s="3" t="s">
        <v>275</v>
      </c>
      <c r="O168" s="3">
        <v>71.0</v>
      </c>
      <c r="P168" s="3" t="s">
        <v>45</v>
      </c>
      <c r="Q168" s="3" t="s">
        <v>276</v>
      </c>
      <c r="R168" s="3" t="s">
        <v>148</v>
      </c>
      <c r="AI168" s="4" t="str">
        <f>HYPERLINK("https://www.senado.gob.ar/parlamentario/parlamentaria/ordenDelDiaResultadoLink/2026/53"," 53 2026 AP -")</f>
        <v> 53 2026 AP -</v>
      </c>
      <c r="AJ168" s="3" t="s">
        <v>225</v>
      </c>
      <c r="AK168" s="3" t="s">
        <v>48</v>
      </c>
      <c r="AM168" s="3" t="s">
        <v>222</v>
      </c>
    </row>
    <row r="169" ht="15.75" customHeight="1">
      <c r="A169" s="3" t="s">
        <v>39</v>
      </c>
      <c r="B169" s="4" t="str">
        <f>HYPERLINK("https://www.senado.gob.ar/parlamentario/comisiones/verExp/48.26/PE/AC","48")</f>
        <v>48</v>
      </c>
      <c r="C169" s="4" t="str">
        <f>HYPERLINK("https://www.senado.gob.ar/parlamentario/comisiones/verExp/48.26/PE/AC","2026")</f>
        <v>2026</v>
      </c>
      <c r="D169" s="3" t="s">
        <v>40</v>
      </c>
      <c r="E169" s="5" t="s">
        <v>287</v>
      </c>
      <c r="F169" s="3" t="s">
        <v>274</v>
      </c>
      <c r="H169" s="3" t="s">
        <v>222</v>
      </c>
      <c r="I169" s="3" t="s">
        <v>275</v>
      </c>
      <c r="K169" s="3" t="s">
        <v>147</v>
      </c>
      <c r="L169" s="3" t="s">
        <v>275</v>
      </c>
      <c r="O169" s="3">
        <v>71.0</v>
      </c>
      <c r="P169" s="3" t="s">
        <v>45</v>
      </c>
      <c r="Q169" s="3" t="s">
        <v>276</v>
      </c>
      <c r="R169" s="3" t="s">
        <v>148</v>
      </c>
      <c r="AI169" s="4" t="str">
        <f>HYPERLINK("https://www.senado.gob.ar/parlamentario/parlamentaria/ordenDelDiaResultadoLink/2026/52"," 52 2026 AP -")</f>
        <v> 52 2026 AP -</v>
      </c>
      <c r="AJ169" s="3" t="s">
        <v>225</v>
      </c>
      <c r="AK169" s="3" t="s">
        <v>48</v>
      </c>
      <c r="AM169" s="3" t="s">
        <v>222</v>
      </c>
    </row>
    <row r="170" ht="15.75" customHeight="1">
      <c r="A170" s="3" t="s">
        <v>39</v>
      </c>
      <c r="B170" s="4" t="str">
        <f>HYPERLINK("https://www.senado.gob.ar/parlamentario/comisiones/verExp/47.26/PE/AC","47")</f>
        <v>47</v>
      </c>
      <c r="C170" s="4" t="str">
        <f>HYPERLINK("https://www.senado.gob.ar/parlamentario/comisiones/verExp/47.26/PE/AC","2026")</f>
        <v>2026</v>
      </c>
      <c r="D170" s="3" t="s">
        <v>40</v>
      </c>
      <c r="E170" s="5" t="s">
        <v>288</v>
      </c>
      <c r="F170" s="3" t="s">
        <v>274</v>
      </c>
      <c r="H170" s="3" t="s">
        <v>222</v>
      </c>
      <c r="I170" s="3" t="s">
        <v>275</v>
      </c>
      <c r="K170" s="3" t="s">
        <v>147</v>
      </c>
      <c r="L170" s="3" t="s">
        <v>275</v>
      </c>
      <c r="O170" s="3">
        <v>71.0</v>
      </c>
      <c r="P170" s="3" t="s">
        <v>45</v>
      </c>
      <c r="Q170" s="3" t="s">
        <v>276</v>
      </c>
      <c r="R170" s="3" t="s">
        <v>148</v>
      </c>
      <c r="AI170" s="4" t="str">
        <f>HYPERLINK("https://www.senado.gob.ar/parlamentario/parlamentaria/ordenDelDiaResultadoLink/2026/51"," 51 2026 AP -")</f>
        <v> 51 2026 AP -</v>
      </c>
      <c r="AJ170" s="3" t="s">
        <v>225</v>
      </c>
      <c r="AK170" s="3" t="s">
        <v>48</v>
      </c>
      <c r="AM170" s="3" t="s">
        <v>222</v>
      </c>
    </row>
    <row r="171" ht="15.75" customHeight="1">
      <c r="A171" s="3" t="s">
        <v>39</v>
      </c>
      <c r="B171" s="4" t="str">
        <f>HYPERLINK("https://www.senado.gob.ar/parlamentario/comisiones/verExp/46.26/PE/AC","46")</f>
        <v>46</v>
      </c>
      <c r="C171" s="4" t="str">
        <f>HYPERLINK("https://www.senado.gob.ar/parlamentario/comisiones/verExp/46.26/PE/AC","2026")</f>
        <v>2026</v>
      </c>
      <c r="D171" s="3" t="s">
        <v>40</v>
      </c>
      <c r="E171" s="5" t="s">
        <v>289</v>
      </c>
      <c r="F171" s="3" t="s">
        <v>274</v>
      </c>
      <c r="H171" s="3" t="s">
        <v>222</v>
      </c>
      <c r="I171" s="3" t="s">
        <v>275</v>
      </c>
      <c r="K171" s="3" t="s">
        <v>147</v>
      </c>
      <c r="L171" s="3" t="s">
        <v>275</v>
      </c>
      <c r="O171" s="3">
        <v>71.0</v>
      </c>
      <c r="P171" s="3" t="s">
        <v>45</v>
      </c>
      <c r="Q171" s="3" t="s">
        <v>276</v>
      </c>
      <c r="R171" s="3" t="s">
        <v>148</v>
      </c>
      <c r="AI171" s="4" t="str">
        <f>HYPERLINK("https://www.senado.gob.ar/parlamentario/parlamentaria/ordenDelDiaResultadoLink/2026/50"," 50 2026 AP -")</f>
        <v> 50 2026 AP -</v>
      </c>
      <c r="AJ171" s="3" t="s">
        <v>225</v>
      </c>
      <c r="AK171" s="3" t="s">
        <v>48</v>
      </c>
      <c r="AM171" s="3" t="s">
        <v>222</v>
      </c>
    </row>
    <row r="172" ht="15.75" customHeight="1">
      <c r="A172" s="3" t="s">
        <v>39</v>
      </c>
      <c r="B172" s="4" t="str">
        <f>HYPERLINK("https://www.senado.gob.ar/parlamentario/comisiones/verExp/45.26/PE/AC","45")</f>
        <v>45</v>
      </c>
      <c r="C172" s="4" t="str">
        <f>HYPERLINK("https://www.senado.gob.ar/parlamentario/comisiones/verExp/45.26/PE/AC","2026")</f>
        <v>2026</v>
      </c>
      <c r="D172" s="3" t="s">
        <v>40</v>
      </c>
      <c r="E172" s="5" t="s">
        <v>290</v>
      </c>
      <c r="F172" s="3" t="s">
        <v>274</v>
      </c>
      <c r="H172" s="3" t="s">
        <v>222</v>
      </c>
      <c r="I172" s="3" t="s">
        <v>275</v>
      </c>
      <c r="K172" s="3" t="s">
        <v>137</v>
      </c>
      <c r="L172" s="3" t="s">
        <v>275</v>
      </c>
      <c r="O172" s="3">
        <v>71.0</v>
      </c>
      <c r="P172" s="3" t="s">
        <v>45</v>
      </c>
      <c r="Q172" s="3" t="s">
        <v>276</v>
      </c>
      <c r="R172" s="3" t="s">
        <v>138</v>
      </c>
      <c r="AI172" s="4" t="str">
        <f>HYPERLINK("https://www.senado.gob.ar/parlamentario/parlamentaria/ordenDelDiaResultadoLink/2026/89"," 89 2026 AP -")</f>
        <v> 89 2026 AP -</v>
      </c>
      <c r="AJ172" s="3" t="s">
        <v>225</v>
      </c>
      <c r="AK172" s="3" t="s">
        <v>48</v>
      </c>
      <c r="AM172" s="3" t="s">
        <v>222</v>
      </c>
    </row>
    <row r="173" ht="15.75" customHeight="1">
      <c r="A173" s="3" t="s">
        <v>39</v>
      </c>
      <c r="B173" s="4" t="str">
        <f>HYPERLINK("https://www.senado.gob.ar/parlamentario/comisiones/verExp/44.26/PE/AC","44")</f>
        <v>44</v>
      </c>
      <c r="C173" s="4" t="str">
        <f>HYPERLINK("https://www.senado.gob.ar/parlamentario/comisiones/verExp/44.26/PE/AC","2026")</f>
        <v>2026</v>
      </c>
      <c r="D173" s="3" t="s">
        <v>40</v>
      </c>
      <c r="E173" s="5" t="s">
        <v>291</v>
      </c>
      <c r="F173" s="3" t="s">
        <v>274</v>
      </c>
      <c r="H173" s="3" t="s">
        <v>222</v>
      </c>
      <c r="I173" s="3" t="s">
        <v>275</v>
      </c>
      <c r="K173" s="3" t="s">
        <v>147</v>
      </c>
      <c r="L173" s="3" t="s">
        <v>275</v>
      </c>
      <c r="O173" s="3">
        <v>71.0</v>
      </c>
      <c r="P173" s="3" t="s">
        <v>45</v>
      </c>
      <c r="Q173" s="3" t="s">
        <v>276</v>
      </c>
      <c r="R173" s="3" t="s">
        <v>148</v>
      </c>
      <c r="AI173" s="4" t="str">
        <f>HYPERLINK("https://www.senado.gob.ar/parlamentario/parlamentaria/ordenDelDiaResultadoLink/2026/49"," 49 2026 AP -")</f>
        <v> 49 2026 AP -</v>
      </c>
      <c r="AJ173" s="3" t="s">
        <v>225</v>
      </c>
      <c r="AK173" s="3" t="s">
        <v>48</v>
      </c>
      <c r="AM173" s="3" t="s">
        <v>222</v>
      </c>
    </row>
    <row r="174" ht="15.75" customHeight="1">
      <c r="A174" s="3" t="s">
        <v>39</v>
      </c>
      <c r="B174" s="4" t="str">
        <f>HYPERLINK("https://www.senado.gob.ar/parlamentario/comisiones/verExp/43.26/PE/AC","43")</f>
        <v>43</v>
      </c>
      <c r="C174" s="4" t="str">
        <f>HYPERLINK("https://www.senado.gob.ar/parlamentario/comisiones/verExp/43.26/PE/AC","2026")</f>
        <v>2026</v>
      </c>
      <c r="D174" s="3" t="s">
        <v>40</v>
      </c>
      <c r="E174" s="5" t="s">
        <v>292</v>
      </c>
      <c r="F174" s="3" t="s">
        <v>274</v>
      </c>
      <c r="H174" s="3" t="s">
        <v>222</v>
      </c>
      <c r="I174" s="3" t="s">
        <v>275</v>
      </c>
      <c r="K174" s="3" t="s">
        <v>147</v>
      </c>
      <c r="L174" s="3" t="s">
        <v>275</v>
      </c>
      <c r="O174" s="3">
        <v>71.0</v>
      </c>
      <c r="P174" s="3" t="s">
        <v>45</v>
      </c>
      <c r="Q174" s="3" t="s">
        <v>276</v>
      </c>
      <c r="R174" s="3" t="s">
        <v>148</v>
      </c>
      <c r="AI174" s="4" t="str">
        <f>HYPERLINK("https://www.senado.gob.ar/parlamentario/parlamentaria/ordenDelDiaResultadoLink/2026/48"," 48 2026 AP -")</f>
        <v> 48 2026 AP -</v>
      </c>
      <c r="AJ174" s="3" t="s">
        <v>225</v>
      </c>
      <c r="AK174" s="3" t="s">
        <v>48</v>
      </c>
      <c r="AM174" s="3" t="s">
        <v>222</v>
      </c>
    </row>
    <row r="175" ht="15.75" customHeight="1">
      <c r="A175" s="3" t="s">
        <v>39</v>
      </c>
      <c r="B175" s="4" t="str">
        <f>HYPERLINK("https://www.senado.gob.ar/parlamentario/comisiones/verExp/42.26/PE/AC","42")</f>
        <v>42</v>
      </c>
      <c r="C175" s="4" t="str">
        <f>HYPERLINK("https://www.senado.gob.ar/parlamentario/comisiones/verExp/42.26/PE/AC","2026")</f>
        <v>2026</v>
      </c>
      <c r="D175" s="3" t="s">
        <v>40</v>
      </c>
      <c r="E175" s="5" t="s">
        <v>293</v>
      </c>
      <c r="F175" s="3" t="s">
        <v>274</v>
      </c>
      <c r="H175" s="3" t="s">
        <v>222</v>
      </c>
      <c r="I175" s="3" t="s">
        <v>275</v>
      </c>
      <c r="K175" s="3" t="s">
        <v>147</v>
      </c>
      <c r="L175" s="3" t="s">
        <v>275</v>
      </c>
      <c r="O175" s="3">
        <v>71.0</v>
      </c>
      <c r="P175" s="3" t="s">
        <v>45</v>
      </c>
      <c r="Q175" s="3" t="s">
        <v>276</v>
      </c>
      <c r="R175" s="3" t="s">
        <v>148</v>
      </c>
      <c r="AI175" s="4" t="str">
        <f>HYPERLINK("https://www.senado.gob.ar/parlamentario/parlamentaria/ordenDelDiaResultadoLink/2026/47"," 47 2026 AP -")</f>
        <v> 47 2026 AP -</v>
      </c>
      <c r="AJ175" s="3" t="s">
        <v>225</v>
      </c>
      <c r="AK175" s="3" t="s">
        <v>48</v>
      </c>
      <c r="AM175" s="3" t="s">
        <v>222</v>
      </c>
    </row>
    <row r="176" ht="15.75" customHeight="1">
      <c r="A176" s="3" t="s">
        <v>39</v>
      </c>
      <c r="B176" s="4" t="str">
        <f>HYPERLINK("https://www.senado.gob.ar/parlamentario/comisiones/verExp/41.26/PE/AC","41")</f>
        <v>41</v>
      </c>
      <c r="C176" s="4" t="str">
        <f>HYPERLINK("https://www.senado.gob.ar/parlamentario/comisiones/verExp/41.26/PE/AC","2026")</f>
        <v>2026</v>
      </c>
      <c r="D176" s="3" t="s">
        <v>40</v>
      </c>
      <c r="E176" s="5" t="s">
        <v>294</v>
      </c>
      <c r="F176" s="3" t="s">
        <v>274</v>
      </c>
      <c r="H176" s="3" t="s">
        <v>222</v>
      </c>
      <c r="I176" s="3" t="s">
        <v>275</v>
      </c>
      <c r="K176" s="3" t="s">
        <v>147</v>
      </c>
      <c r="L176" s="3" t="s">
        <v>275</v>
      </c>
      <c r="O176" s="3">
        <v>71.0</v>
      </c>
      <c r="P176" s="3" t="s">
        <v>45</v>
      </c>
      <c r="Q176" s="3" t="s">
        <v>276</v>
      </c>
      <c r="R176" s="3" t="s">
        <v>148</v>
      </c>
      <c r="AI176" s="4" t="str">
        <f>HYPERLINK("https://www.senado.gob.ar/parlamentario/parlamentaria/ordenDelDiaResultadoLink/2026/46"," 46 2026 AP -")</f>
        <v> 46 2026 AP -</v>
      </c>
      <c r="AJ176" s="3" t="s">
        <v>225</v>
      </c>
      <c r="AK176" s="3" t="s">
        <v>48</v>
      </c>
      <c r="AM176" s="3" t="s">
        <v>222</v>
      </c>
    </row>
    <row r="177" ht="15.75" customHeight="1">
      <c r="A177" s="3" t="s">
        <v>39</v>
      </c>
      <c r="B177" s="4" t="str">
        <f>HYPERLINK("https://www.senado.gob.ar/parlamentario/comisiones/verExp/40.26/PE/AC","40")</f>
        <v>40</v>
      </c>
      <c r="C177" s="4" t="str">
        <f>HYPERLINK("https://www.senado.gob.ar/parlamentario/comisiones/verExp/40.26/PE/AC","2026")</f>
        <v>2026</v>
      </c>
      <c r="D177" s="3" t="s">
        <v>40</v>
      </c>
      <c r="E177" s="5" t="s">
        <v>295</v>
      </c>
      <c r="F177" s="3" t="s">
        <v>274</v>
      </c>
      <c r="H177" s="3" t="s">
        <v>222</v>
      </c>
      <c r="I177" s="3" t="s">
        <v>275</v>
      </c>
      <c r="K177" s="3" t="s">
        <v>147</v>
      </c>
      <c r="L177" s="3" t="s">
        <v>275</v>
      </c>
      <c r="O177" s="3">
        <v>71.0</v>
      </c>
      <c r="P177" s="3" t="s">
        <v>45</v>
      </c>
      <c r="Q177" s="3" t="s">
        <v>276</v>
      </c>
      <c r="R177" s="3" t="s">
        <v>148</v>
      </c>
      <c r="AI177" s="4" t="str">
        <f>HYPERLINK("https://www.senado.gob.ar/parlamentario/parlamentaria/ordenDelDiaResultadoLink/2026/45"," 45 2026 AP -")</f>
        <v> 45 2026 AP -</v>
      </c>
      <c r="AJ177" s="3" t="s">
        <v>225</v>
      </c>
      <c r="AK177" s="3" t="s">
        <v>48</v>
      </c>
      <c r="AM177" s="3" t="s">
        <v>222</v>
      </c>
    </row>
    <row r="178" ht="15.75" customHeight="1">
      <c r="A178" s="3" t="s">
        <v>39</v>
      </c>
      <c r="B178" s="4" t="str">
        <f>HYPERLINK("https://www.senado.gob.ar/parlamentario/comisiones/verExp/39.26/PE/AC","39")</f>
        <v>39</v>
      </c>
      <c r="C178" s="4" t="str">
        <f>HYPERLINK("https://www.senado.gob.ar/parlamentario/comisiones/verExp/39.26/PE/AC","2026")</f>
        <v>2026</v>
      </c>
      <c r="D178" s="3" t="s">
        <v>40</v>
      </c>
      <c r="E178" s="5" t="s">
        <v>296</v>
      </c>
      <c r="F178" s="3" t="s">
        <v>274</v>
      </c>
      <c r="H178" s="3" t="s">
        <v>222</v>
      </c>
      <c r="I178" s="3" t="s">
        <v>275</v>
      </c>
      <c r="K178" s="3" t="s">
        <v>147</v>
      </c>
      <c r="L178" s="3" t="s">
        <v>275</v>
      </c>
      <c r="O178" s="3">
        <v>71.0</v>
      </c>
      <c r="P178" s="3" t="s">
        <v>45</v>
      </c>
      <c r="Q178" s="3" t="s">
        <v>276</v>
      </c>
      <c r="R178" s="3" t="s">
        <v>148</v>
      </c>
      <c r="AI178" s="4" t="str">
        <f>HYPERLINK("https://www.senado.gob.ar/parlamentario/parlamentaria/ordenDelDiaResultadoLink/2026/44"," 44 2026 AP -")</f>
        <v> 44 2026 AP -</v>
      </c>
      <c r="AJ178" s="3" t="s">
        <v>225</v>
      </c>
      <c r="AK178" s="3" t="s">
        <v>48</v>
      </c>
      <c r="AM178" s="3" t="s">
        <v>222</v>
      </c>
    </row>
    <row r="179" ht="15.75" customHeight="1">
      <c r="A179" s="3" t="s">
        <v>39</v>
      </c>
      <c r="B179" s="4" t="str">
        <f>HYPERLINK("https://www.senado.gob.ar/parlamentario/comisiones/verExp/38.26/PE/AC","38")</f>
        <v>38</v>
      </c>
      <c r="C179" s="4" t="str">
        <f>HYPERLINK("https://www.senado.gob.ar/parlamentario/comisiones/verExp/38.26/PE/AC","2026")</f>
        <v>2026</v>
      </c>
      <c r="D179" s="3" t="s">
        <v>40</v>
      </c>
      <c r="E179" s="5" t="s">
        <v>297</v>
      </c>
      <c r="F179" s="3" t="s">
        <v>274</v>
      </c>
      <c r="H179" s="3" t="s">
        <v>222</v>
      </c>
      <c r="I179" s="3" t="s">
        <v>275</v>
      </c>
      <c r="K179" s="3" t="s">
        <v>147</v>
      </c>
      <c r="L179" s="3" t="s">
        <v>275</v>
      </c>
      <c r="O179" s="3">
        <v>71.0</v>
      </c>
      <c r="P179" s="3" t="s">
        <v>45</v>
      </c>
      <c r="Q179" s="3" t="s">
        <v>276</v>
      </c>
      <c r="R179" s="3" t="s">
        <v>148</v>
      </c>
      <c r="AI179" s="4" t="str">
        <f>HYPERLINK("https://www.senado.gob.ar/parlamentario/parlamentaria/ordenDelDiaResultadoLink/2026/43"," 43 2026 AP -")</f>
        <v> 43 2026 AP -</v>
      </c>
      <c r="AJ179" s="3" t="s">
        <v>225</v>
      </c>
      <c r="AK179" s="3" t="s">
        <v>48</v>
      </c>
      <c r="AM179" s="3" t="s">
        <v>222</v>
      </c>
    </row>
    <row r="180" ht="15.75" customHeight="1">
      <c r="A180" s="3" t="s">
        <v>39</v>
      </c>
      <c r="B180" s="4" t="str">
        <f>HYPERLINK("https://www.senado.gob.ar/parlamentario/comisiones/verExp/37.26/PE/AC","37")</f>
        <v>37</v>
      </c>
      <c r="C180" s="4" t="str">
        <f>HYPERLINK("https://www.senado.gob.ar/parlamentario/comisiones/verExp/37.26/PE/AC","2026")</f>
        <v>2026</v>
      </c>
      <c r="D180" s="3" t="s">
        <v>40</v>
      </c>
      <c r="E180" s="5" t="s">
        <v>298</v>
      </c>
      <c r="F180" s="3" t="s">
        <v>274</v>
      </c>
      <c r="I180" s="3" t="s">
        <v>275</v>
      </c>
      <c r="K180" s="3" t="s">
        <v>44</v>
      </c>
      <c r="L180" s="3" t="s">
        <v>275</v>
      </c>
      <c r="O180" s="3">
        <v>71.0</v>
      </c>
      <c r="P180" s="3" t="s">
        <v>45</v>
      </c>
      <c r="Q180" s="3" t="s">
        <v>276</v>
      </c>
      <c r="AI180" s="3" t="str">
        <f>HYPERLINK("","")</f>
        <v/>
      </c>
      <c r="AJ180" s="3" t="s">
        <v>47</v>
      </c>
      <c r="AK180" s="3" t="s">
        <v>48</v>
      </c>
    </row>
    <row r="181" ht="15.75" customHeight="1">
      <c r="A181" s="3" t="s">
        <v>39</v>
      </c>
      <c r="B181" s="4" t="str">
        <f>HYPERLINK("https://www.senado.gob.ar/parlamentario/comisiones/verExp/36.26/PE/AC","36")</f>
        <v>36</v>
      </c>
      <c r="C181" s="4" t="str">
        <f>HYPERLINK("https://www.senado.gob.ar/parlamentario/comisiones/verExp/36.26/PE/AC","2026")</f>
        <v>2026</v>
      </c>
      <c r="D181" s="3" t="s">
        <v>40</v>
      </c>
      <c r="E181" s="5" t="s">
        <v>299</v>
      </c>
      <c r="F181" s="3" t="s">
        <v>274</v>
      </c>
      <c r="H181" s="3" t="s">
        <v>222</v>
      </c>
      <c r="I181" s="3" t="s">
        <v>275</v>
      </c>
      <c r="K181" s="3" t="s">
        <v>142</v>
      </c>
      <c r="L181" s="3" t="s">
        <v>275</v>
      </c>
      <c r="O181" s="3">
        <v>71.0</v>
      </c>
      <c r="P181" s="3" t="s">
        <v>45</v>
      </c>
      <c r="Q181" s="3" t="s">
        <v>276</v>
      </c>
      <c r="R181" s="3" t="s">
        <v>143</v>
      </c>
      <c r="AI181" s="4" t="str">
        <f>HYPERLINK("https://www.senado.gob.ar/parlamentario/parlamentaria/ordenDelDiaResultadoLink/2026/63"," 63 2026 AP -")</f>
        <v> 63 2026 AP -</v>
      </c>
      <c r="AJ181" s="3" t="s">
        <v>225</v>
      </c>
      <c r="AK181" s="3" t="s">
        <v>48</v>
      </c>
      <c r="AM181" s="3" t="s">
        <v>222</v>
      </c>
    </row>
    <row r="182" ht="15.75" customHeight="1">
      <c r="A182" s="3" t="s">
        <v>39</v>
      </c>
      <c r="B182" s="4" t="str">
        <f>HYPERLINK("https://www.senado.gob.ar/parlamentario/comisiones/verExp/35.26/PE/AC","35")</f>
        <v>35</v>
      </c>
      <c r="C182" s="4" t="str">
        <f>HYPERLINK("https://www.senado.gob.ar/parlamentario/comisiones/verExp/35.26/PE/AC","2026")</f>
        <v>2026</v>
      </c>
      <c r="D182" s="3" t="s">
        <v>40</v>
      </c>
      <c r="E182" s="5" t="s">
        <v>300</v>
      </c>
      <c r="F182" s="3" t="s">
        <v>274</v>
      </c>
      <c r="I182" s="3" t="s">
        <v>275</v>
      </c>
      <c r="K182" s="3" t="s">
        <v>44</v>
      </c>
      <c r="L182" s="3" t="s">
        <v>275</v>
      </c>
      <c r="O182" s="3">
        <v>71.0</v>
      </c>
      <c r="P182" s="3" t="s">
        <v>45</v>
      </c>
      <c r="Q182" s="3" t="s">
        <v>276</v>
      </c>
      <c r="AI182" s="3" t="str">
        <f>HYPERLINK("","")</f>
        <v/>
      </c>
      <c r="AJ182" s="3" t="s">
        <v>47</v>
      </c>
      <c r="AK182" s="3" t="s">
        <v>48</v>
      </c>
    </row>
    <row r="183" ht="15.75" customHeight="1">
      <c r="A183" s="3" t="s">
        <v>39</v>
      </c>
      <c r="B183" s="4" t="str">
        <f>HYPERLINK("https://www.senado.gob.ar/parlamentario/comisiones/verExp/34.26/PE/AC","34")</f>
        <v>34</v>
      </c>
      <c r="C183" s="4" t="str">
        <f>HYPERLINK("https://www.senado.gob.ar/parlamentario/comisiones/verExp/34.26/PE/AC","2026")</f>
        <v>2026</v>
      </c>
      <c r="D183" s="3" t="s">
        <v>40</v>
      </c>
      <c r="E183" s="5" t="s">
        <v>301</v>
      </c>
      <c r="F183" s="3" t="s">
        <v>274</v>
      </c>
      <c r="I183" s="3" t="s">
        <v>275</v>
      </c>
      <c r="K183" s="3" t="s">
        <v>302</v>
      </c>
      <c r="L183" s="3" t="s">
        <v>303</v>
      </c>
      <c r="O183" s="3">
        <v>71.0</v>
      </c>
      <c r="P183" s="3" t="s">
        <v>45</v>
      </c>
      <c r="Q183" s="3" t="s">
        <v>276</v>
      </c>
      <c r="R183" s="3" t="s">
        <v>138</v>
      </c>
      <c r="S183" s="3">
        <v>71.0</v>
      </c>
      <c r="T183" s="3" t="s">
        <v>45</v>
      </c>
      <c r="U183" s="3" t="s">
        <v>222</v>
      </c>
      <c r="AI183" s="4" t="str">
        <f>HYPERLINK("https://www.senado.gob.ar/parlamentario/parlamentaria/ordenDelDiaResultadoLink/2026/88"," 88 2026 AP -")</f>
        <v> 88 2026 AP -</v>
      </c>
      <c r="AJ183" s="3" t="s">
        <v>225</v>
      </c>
      <c r="AK183" s="3" t="s">
        <v>48</v>
      </c>
    </row>
    <row r="184" ht="15.75" customHeight="1">
      <c r="A184" s="3" t="s">
        <v>39</v>
      </c>
      <c r="B184" s="4" t="str">
        <f>HYPERLINK("https://www.senado.gob.ar/parlamentario/comisiones/verExp/33.26/PE/AC","33")</f>
        <v>33</v>
      </c>
      <c r="C184" s="4" t="str">
        <f>HYPERLINK("https://www.senado.gob.ar/parlamentario/comisiones/verExp/33.26/PE/AC","2026")</f>
        <v>2026</v>
      </c>
      <c r="D184" s="3" t="s">
        <v>40</v>
      </c>
      <c r="E184" s="5" t="s">
        <v>304</v>
      </c>
      <c r="F184" s="3" t="s">
        <v>274</v>
      </c>
      <c r="H184" s="3" t="s">
        <v>222</v>
      </c>
      <c r="I184" s="3" t="s">
        <v>275</v>
      </c>
      <c r="K184" s="3" t="s">
        <v>147</v>
      </c>
      <c r="L184" s="3" t="s">
        <v>275</v>
      </c>
      <c r="O184" s="3">
        <v>71.0</v>
      </c>
      <c r="P184" s="3" t="s">
        <v>45</v>
      </c>
      <c r="Q184" s="3" t="s">
        <v>276</v>
      </c>
      <c r="R184" s="3" t="s">
        <v>148</v>
      </c>
      <c r="AI184" s="4" t="str">
        <f>HYPERLINK("https://www.senado.gob.ar/parlamentario/parlamentaria/ordenDelDiaResultadoLink/2026/42"," 42 2026 AP -")</f>
        <v> 42 2026 AP -</v>
      </c>
      <c r="AJ184" s="3" t="s">
        <v>225</v>
      </c>
      <c r="AK184" s="3" t="s">
        <v>48</v>
      </c>
      <c r="AM184" s="3" t="s">
        <v>222</v>
      </c>
    </row>
    <row r="185" ht="15.75" customHeight="1">
      <c r="A185" s="3" t="s">
        <v>39</v>
      </c>
      <c r="B185" s="4" t="str">
        <f>HYPERLINK("https://www.senado.gob.ar/parlamentario/comisiones/verExp/32.26/PE/AC","32")</f>
        <v>32</v>
      </c>
      <c r="C185" s="4" t="str">
        <f>HYPERLINK("https://www.senado.gob.ar/parlamentario/comisiones/verExp/32.26/PE/AC","2026")</f>
        <v>2026</v>
      </c>
      <c r="D185" s="3" t="s">
        <v>40</v>
      </c>
      <c r="E185" s="5" t="s">
        <v>305</v>
      </c>
      <c r="F185" s="3" t="s">
        <v>274</v>
      </c>
      <c r="H185" s="3" t="s">
        <v>222</v>
      </c>
      <c r="I185" s="3" t="s">
        <v>275</v>
      </c>
      <c r="K185" s="3" t="s">
        <v>147</v>
      </c>
      <c r="L185" s="3" t="s">
        <v>275</v>
      </c>
      <c r="O185" s="3">
        <v>71.0</v>
      </c>
      <c r="P185" s="3" t="s">
        <v>45</v>
      </c>
      <c r="Q185" s="3" t="s">
        <v>276</v>
      </c>
      <c r="R185" s="3" t="s">
        <v>148</v>
      </c>
      <c r="AI185" s="4" t="str">
        <f>HYPERLINK("https://www.senado.gob.ar/parlamentario/parlamentaria/ordenDelDiaResultadoLink/2026/41"," 41 2026 AP -")</f>
        <v> 41 2026 AP -</v>
      </c>
      <c r="AJ185" s="3" t="s">
        <v>225</v>
      </c>
      <c r="AK185" s="3" t="s">
        <v>48</v>
      </c>
      <c r="AM185" s="3" t="s">
        <v>222</v>
      </c>
    </row>
    <row r="186" ht="15.75" customHeight="1">
      <c r="A186" s="3" t="s">
        <v>39</v>
      </c>
      <c r="B186" s="4" t="str">
        <f>HYPERLINK("https://www.senado.gob.ar/parlamentario/comisiones/verExp/31.26/PE/AC","31")</f>
        <v>31</v>
      </c>
      <c r="C186" s="4" t="str">
        <f>HYPERLINK("https://www.senado.gob.ar/parlamentario/comisiones/verExp/31.26/PE/AC","2026")</f>
        <v>2026</v>
      </c>
      <c r="D186" s="3" t="s">
        <v>40</v>
      </c>
      <c r="E186" s="5" t="s">
        <v>306</v>
      </c>
      <c r="F186" s="3" t="s">
        <v>274</v>
      </c>
      <c r="H186" s="3" t="s">
        <v>222</v>
      </c>
      <c r="I186" s="3" t="s">
        <v>275</v>
      </c>
      <c r="K186" s="3" t="s">
        <v>307</v>
      </c>
      <c r="L186" s="3" t="s">
        <v>275</v>
      </c>
      <c r="O186" s="3">
        <v>71.0</v>
      </c>
      <c r="P186" s="3" t="s">
        <v>45</v>
      </c>
      <c r="Q186" s="3" t="s">
        <v>276</v>
      </c>
      <c r="R186" s="3" t="s">
        <v>308</v>
      </c>
      <c r="AI186" s="4" t="str">
        <f>HYPERLINK("https://www.senado.gob.ar/parlamentario/parlamentaria/ordenDelDiaResultadoLink/2026/112"," 112 2026 AP -")</f>
        <v> 112 2026 AP -</v>
      </c>
      <c r="AJ186" s="3" t="s">
        <v>225</v>
      </c>
      <c r="AK186" s="3" t="s">
        <v>48</v>
      </c>
      <c r="AM186" s="3" t="s">
        <v>222</v>
      </c>
    </row>
    <row r="187" ht="15.75" customHeight="1">
      <c r="A187" s="3" t="s">
        <v>39</v>
      </c>
      <c r="B187" s="4" t="str">
        <f>HYPERLINK("https://www.senado.gob.ar/parlamentario/comisiones/verExp/30.26/PE/AC","30")</f>
        <v>30</v>
      </c>
      <c r="C187" s="4" t="str">
        <f>HYPERLINK("https://www.senado.gob.ar/parlamentario/comisiones/verExp/30.26/PE/AC","2026")</f>
        <v>2026</v>
      </c>
      <c r="D187" s="3" t="s">
        <v>40</v>
      </c>
      <c r="E187" s="5" t="s">
        <v>309</v>
      </c>
      <c r="F187" s="3" t="s">
        <v>274</v>
      </c>
      <c r="H187" s="3" t="s">
        <v>222</v>
      </c>
      <c r="I187" s="3" t="s">
        <v>275</v>
      </c>
      <c r="K187" s="3" t="s">
        <v>142</v>
      </c>
      <c r="L187" s="3" t="s">
        <v>275</v>
      </c>
      <c r="O187" s="3">
        <v>71.0</v>
      </c>
      <c r="P187" s="3" t="s">
        <v>45</v>
      </c>
      <c r="Q187" s="3" t="s">
        <v>276</v>
      </c>
      <c r="R187" s="3" t="s">
        <v>143</v>
      </c>
      <c r="AI187" s="4" t="str">
        <f>HYPERLINK("https://www.senado.gob.ar/parlamentario/parlamentaria/ordenDelDiaResultadoLink/2026/62"," 62 2026 AP -")</f>
        <v> 62 2026 AP -</v>
      </c>
      <c r="AJ187" s="3" t="s">
        <v>225</v>
      </c>
      <c r="AK187" s="3" t="s">
        <v>48</v>
      </c>
      <c r="AM187" s="3" t="s">
        <v>222</v>
      </c>
    </row>
    <row r="188" ht="15.75" customHeight="1">
      <c r="A188" s="3" t="s">
        <v>39</v>
      </c>
      <c r="B188" s="4" t="str">
        <f>HYPERLINK("https://www.senado.gob.ar/parlamentario/comisiones/verExp/29.26/PE/AC","29")</f>
        <v>29</v>
      </c>
      <c r="C188" s="4" t="str">
        <f>HYPERLINK("https://www.senado.gob.ar/parlamentario/comisiones/verExp/29.26/PE/AC","2026")</f>
        <v>2026</v>
      </c>
      <c r="D188" s="3" t="s">
        <v>40</v>
      </c>
      <c r="E188" s="5" t="s">
        <v>310</v>
      </c>
      <c r="F188" s="3" t="s">
        <v>274</v>
      </c>
      <c r="H188" s="3" t="s">
        <v>222</v>
      </c>
      <c r="I188" s="3" t="s">
        <v>275</v>
      </c>
      <c r="K188" s="3" t="s">
        <v>147</v>
      </c>
      <c r="L188" s="3" t="s">
        <v>275</v>
      </c>
      <c r="O188" s="3">
        <v>71.0</v>
      </c>
      <c r="P188" s="3" t="s">
        <v>45</v>
      </c>
      <c r="Q188" s="3" t="s">
        <v>276</v>
      </c>
      <c r="R188" s="3" t="s">
        <v>148</v>
      </c>
      <c r="AI188" s="4" t="str">
        <f>HYPERLINK("https://www.senado.gob.ar/parlamentario/parlamentaria/ordenDelDiaResultadoLink/2026/40"," 40 2026 AP -")</f>
        <v> 40 2026 AP -</v>
      </c>
      <c r="AJ188" s="3" t="s">
        <v>225</v>
      </c>
      <c r="AK188" s="3" t="s">
        <v>48</v>
      </c>
      <c r="AM188" s="3" t="s">
        <v>222</v>
      </c>
    </row>
    <row r="189" ht="15.75" customHeight="1">
      <c r="A189" s="3" t="s">
        <v>39</v>
      </c>
      <c r="B189" s="4" t="str">
        <f>HYPERLINK("https://www.senado.gob.ar/parlamentario/comisiones/verExp/28.26/PE/AC","28")</f>
        <v>28</v>
      </c>
      <c r="C189" s="4" t="str">
        <f>HYPERLINK("https://www.senado.gob.ar/parlamentario/comisiones/verExp/28.26/PE/AC","2026")</f>
        <v>2026</v>
      </c>
      <c r="D189" s="3" t="s">
        <v>40</v>
      </c>
      <c r="E189" s="5" t="s">
        <v>311</v>
      </c>
      <c r="F189" s="3" t="s">
        <v>274</v>
      </c>
      <c r="H189" s="3" t="s">
        <v>222</v>
      </c>
      <c r="I189" s="3" t="s">
        <v>275</v>
      </c>
      <c r="K189" s="3" t="s">
        <v>147</v>
      </c>
      <c r="L189" s="3" t="s">
        <v>275</v>
      </c>
      <c r="O189" s="3">
        <v>71.0</v>
      </c>
      <c r="P189" s="3" t="s">
        <v>45</v>
      </c>
      <c r="Q189" s="3" t="s">
        <v>276</v>
      </c>
      <c r="R189" s="3" t="s">
        <v>148</v>
      </c>
      <c r="AI189" s="4" t="str">
        <f>HYPERLINK("https://www.senado.gob.ar/parlamentario/parlamentaria/ordenDelDiaResultadoLink/2026/39"," 39 2026 AP -")</f>
        <v> 39 2026 AP -</v>
      </c>
      <c r="AJ189" s="3" t="s">
        <v>225</v>
      </c>
      <c r="AK189" s="3" t="s">
        <v>48</v>
      </c>
      <c r="AM189" s="3" t="s">
        <v>222</v>
      </c>
    </row>
    <row r="190" ht="15.75" customHeight="1">
      <c r="A190" s="3" t="s">
        <v>39</v>
      </c>
      <c r="B190" s="4" t="str">
        <f>HYPERLINK("https://www.senado.gob.ar/parlamentario/comisiones/verExp/27.26/PE/AC","27")</f>
        <v>27</v>
      </c>
      <c r="C190" s="4" t="str">
        <f>HYPERLINK("https://www.senado.gob.ar/parlamentario/comisiones/verExp/27.26/PE/AC","2026")</f>
        <v>2026</v>
      </c>
      <c r="D190" s="3" t="s">
        <v>40</v>
      </c>
      <c r="E190" s="5" t="s">
        <v>312</v>
      </c>
      <c r="F190" s="3" t="s">
        <v>274</v>
      </c>
      <c r="H190" s="3" t="s">
        <v>222</v>
      </c>
      <c r="I190" s="3" t="s">
        <v>275</v>
      </c>
      <c r="K190" s="3" t="s">
        <v>142</v>
      </c>
      <c r="L190" s="3" t="s">
        <v>275</v>
      </c>
      <c r="O190" s="3">
        <v>71.0</v>
      </c>
      <c r="P190" s="3" t="s">
        <v>45</v>
      </c>
      <c r="Q190" s="3" t="s">
        <v>276</v>
      </c>
      <c r="R190" s="3" t="s">
        <v>143</v>
      </c>
      <c r="AI190" s="4" t="str">
        <f>HYPERLINK("https://www.senado.gob.ar/parlamentario/parlamentaria/ordenDelDiaResultadoLink/2026/61"," 61 2026 AP -")</f>
        <v> 61 2026 AP -</v>
      </c>
      <c r="AJ190" s="3" t="s">
        <v>225</v>
      </c>
      <c r="AK190" s="3" t="s">
        <v>48</v>
      </c>
      <c r="AM190" s="3" t="s">
        <v>222</v>
      </c>
    </row>
    <row r="191" ht="15.75" customHeight="1">
      <c r="A191" s="3" t="s">
        <v>39</v>
      </c>
      <c r="B191" s="4" t="str">
        <f>HYPERLINK("https://www.senado.gob.ar/parlamentario/comisiones/verExp/26.26/PE/AC","26")</f>
        <v>26</v>
      </c>
      <c r="C191" s="4" t="str">
        <f>HYPERLINK("https://www.senado.gob.ar/parlamentario/comisiones/verExp/26.26/PE/AC","2026")</f>
        <v>2026</v>
      </c>
      <c r="D191" s="3" t="s">
        <v>40</v>
      </c>
      <c r="E191" s="5" t="s">
        <v>313</v>
      </c>
      <c r="F191" s="3" t="s">
        <v>274</v>
      </c>
      <c r="H191" s="3" t="s">
        <v>222</v>
      </c>
      <c r="I191" s="3" t="s">
        <v>275</v>
      </c>
      <c r="K191" s="3" t="s">
        <v>147</v>
      </c>
      <c r="L191" s="3" t="s">
        <v>275</v>
      </c>
      <c r="O191" s="3">
        <v>71.0</v>
      </c>
      <c r="P191" s="3" t="s">
        <v>45</v>
      </c>
      <c r="Q191" s="3" t="s">
        <v>276</v>
      </c>
      <c r="R191" s="3" t="s">
        <v>148</v>
      </c>
      <c r="AI191" s="4" t="str">
        <f>HYPERLINK("https://www.senado.gob.ar/parlamentario/parlamentaria/ordenDelDiaResultadoLink/2026/38"," 38 2026 AP -")</f>
        <v> 38 2026 AP -</v>
      </c>
      <c r="AJ191" s="3" t="s">
        <v>225</v>
      </c>
      <c r="AK191" s="3" t="s">
        <v>48</v>
      </c>
      <c r="AM191" s="3" t="s">
        <v>222</v>
      </c>
    </row>
    <row r="192" ht="15.75" customHeight="1">
      <c r="A192" s="3" t="s">
        <v>39</v>
      </c>
      <c r="B192" s="4" t="str">
        <f>HYPERLINK("https://www.senado.gob.ar/parlamentario/comisiones/verExp/25.26/PE/AC","25")</f>
        <v>25</v>
      </c>
      <c r="C192" s="4" t="str">
        <f>HYPERLINK("https://www.senado.gob.ar/parlamentario/comisiones/verExp/25.26/PE/AC","2026")</f>
        <v>2026</v>
      </c>
      <c r="D192" s="3" t="s">
        <v>40</v>
      </c>
      <c r="E192" s="5" t="s">
        <v>314</v>
      </c>
      <c r="F192" s="3" t="s">
        <v>274</v>
      </c>
      <c r="H192" s="3" t="s">
        <v>222</v>
      </c>
      <c r="I192" s="3" t="s">
        <v>275</v>
      </c>
      <c r="K192" s="3" t="s">
        <v>147</v>
      </c>
      <c r="L192" s="3" t="s">
        <v>275</v>
      </c>
      <c r="O192" s="3">
        <v>71.0</v>
      </c>
      <c r="P192" s="3" t="s">
        <v>45</v>
      </c>
      <c r="Q192" s="3" t="s">
        <v>276</v>
      </c>
      <c r="R192" s="3" t="s">
        <v>148</v>
      </c>
      <c r="AI192" s="4" t="str">
        <f>HYPERLINK("https://www.senado.gob.ar/parlamentario/parlamentaria/ordenDelDiaResultadoLink/2026/37"," 37 2026 AP -")</f>
        <v> 37 2026 AP -</v>
      </c>
      <c r="AJ192" s="3" t="s">
        <v>225</v>
      </c>
      <c r="AK192" s="3" t="s">
        <v>48</v>
      </c>
      <c r="AM192" s="3" t="s">
        <v>222</v>
      </c>
    </row>
    <row r="193" ht="15.75" customHeight="1">
      <c r="A193" s="3" t="s">
        <v>39</v>
      </c>
      <c r="B193" s="4" t="str">
        <f>HYPERLINK("https://www.senado.gob.ar/parlamentario/comisiones/verExp/24.26/PE/AC","24")</f>
        <v>24</v>
      </c>
      <c r="C193" s="4" t="str">
        <f>HYPERLINK("https://www.senado.gob.ar/parlamentario/comisiones/verExp/24.26/PE/AC","2026")</f>
        <v>2026</v>
      </c>
      <c r="D193" s="3" t="s">
        <v>40</v>
      </c>
      <c r="E193" s="5" t="s">
        <v>315</v>
      </c>
      <c r="F193" s="3" t="s">
        <v>274</v>
      </c>
      <c r="H193" s="3" t="s">
        <v>222</v>
      </c>
      <c r="I193" s="3" t="s">
        <v>275</v>
      </c>
      <c r="K193" s="3" t="s">
        <v>142</v>
      </c>
      <c r="L193" s="3" t="s">
        <v>275</v>
      </c>
      <c r="O193" s="3">
        <v>71.0</v>
      </c>
      <c r="P193" s="3" t="s">
        <v>45</v>
      </c>
      <c r="Q193" s="3" t="s">
        <v>276</v>
      </c>
      <c r="R193" s="3" t="s">
        <v>143</v>
      </c>
      <c r="AI193" s="4" t="str">
        <f>HYPERLINK("https://www.senado.gob.ar/parlamentario/parlamentaria/ordenDelDiaResultadoLink/2026/60"," 60 2026 AP -")</f>
        <v> 60 2026 AP -</v>
      </c>
      <c r="AJ193" s="3" t="s">
        <v>225</v>
      </c>
      <c r="AK193" s="3" t="s">
        <v>48</v>
      </c>
      <c r="AM193" s="3" t="s">
        <v>222</v>
      </c>
    </row>
    <row r="194" ht="15.75" customHeight="1">
      <c r="A194" s="3" t="s">
        <v>39</v>
      </c>
      <c r="B194" s="4" t="str">
        <f>HYPERLINK("https://www.senado.gob.ar/parlamentario/comisiones/verExp/23.26/PE/AC","23")</f>
        <v>23</v>
      </c>
      <c r="C194" s="4" t="str">
        <f>HYPERLINK("https://www.senado.gob.ar/parlamentario/comisiones/verExp/23.26/PE/AC","2026")</f>
        <v>2026</v>
      </c>
      <c r="D194" s="3" t="s">
        <v>40</v>
      </c>
      <c r="E194" s="5" t="s">
        <v>316</v>
      </c>
      <c r="F194" s="3" t="s">
        <v>274</v>
      </c>
      <c r="H194" s="3" t="s">
        <v>222</v>
      </c>
      <c r="I194" s="3" t="s">
        <v>275</v>
      </c>
      <c r="K194" s="3" t="s">
        <v>147</v>
      </c>
      <c r="L194" s="3" t="s">
        <v>275</v>
      </c>
      <c r="O194" s="3">
        <v>71.0</v>
      </c>
      <c r="P194" s="3" t="s">
        <v>45</v>
      </c>
      <c r="Q194" s="3" t="s">
        <v>276</v>
      </c>
      <c r="R194" s="3" t="s">
        <v>148</v>
      </c>
      <c r="AI194" s="4" t="str">
        <f>HYPERLINK("https://www.senado.gob.ar/parlamentario/parlamentaria/ordenDelDiaResultadoLink/2026/36"," 36 2026 AP -")</f>
        <v> 36 2026 AP -</v>
      </c>
      <c r="AJ194" s="3" t="s">
        <v>225</v>
      </c>
      <c r="AK194" s="3" t="s">
        <v>48</v>
      </c>
      <c r="AM194" s="3" t="s">
        <v>222</v>
      </c>
    </row>
    <row r="195" ht="15.75" customHeight="1">
      <c r="A195" s="3" t="s">
        <v>39</v>
      </c>
      <c r="B195" s="4" t="str">
        <f>HYPERLINK("https://www.senado.gob.ar/parlamentario/comisiones/verExp/22.26/PE/AC","22")</f>
        <v>22</v>
      </c>
      <c r="C195" s="4" t="str">
        <f>HYPERLINK("https://www.senado.gob.ar/parlamentario/comisiones/verExp/22.26/PE/AC","2026")</f>
        <v>2026</v>
      </c>
      <c r="D195" s="3" t="s">
        <v>40</v>
      </c>
      <c r="E195" s="5" t="s">
        <v>317</v>
      </c>
      <c r="F195" s="3" t="s">
        <v>274</v>
      </c>
      <c r="H195" s="3" t="s">
        <v>222</v>
      </c>
      <c r="I195" s="3" t="s">
        <v>275</v>
      </c>
      <c r="K195" s="3" t="s">
        <v>147</v>
      </c>
      <c r="L195" s="3" t="s">
        <v>275</v>
      </c>
      <c r="O195" s="3">
        <v>71.0</v>
      </c>
      <c r="P195" s="3" t="s">
        <v>45</v>
      </c>
      <c r="Q195" s="3" t="s">
        <v>276</v>
      </c>
      <c r="R195" s="3" t="s">
        <v>148</v>
      </c>
      <c r="AI195" s="4" t="str">
        <f>HYPERLINK("https://www.senado.gob.ar/parlamentario/parlamentaria/ordenDelDiaResultadoLink/2026/35"," 35 2026 AP -")</f>
        <v> 35 2026 AP -</v>
      </c>
      <c r="AJ195" s="3" t="s">
        <v>225</v>
      </c>
      <c r="AK195" s="3" t="s">
        <v>48</v>
      </c>
      <c r="AM195" s="3" t="s">
        <v>222</v>
      </c>
    </row>
    <row r="196" ht="15.75" customHeight="1">
      <c r="A196" s="3" t="s">
        <v>39</v>
      </c>
      <c r="B196" s="4" t="str">
        <f>HYPERLINK("https://www.senado.gob.ar/parlamentario/comisiones/verExp/21.26/PE/AC","21")</f>
        <v>21</v>
      </c>
      <c r="C196" s="4" t="str">
        <f>HYPERLINK("https://www.senado.gob.ar/parlamentario/comisiones/verExp/21.26/PE/AC","2026")</f>
        <v>2026</v>
      </c>
      <c r="D196" s="3" t="s">
        <v>40</v>
      </c>
      <c r="E196" s="5" t="s">
        <v>318</v>
      </c>
      <c r="F196" s="3" t="s">
        <v>274</v>
      </c>
      <c r="H196" s="3" t="s">
        <v>222</v>
      </c>
      <c r="I196" s="3" t="s">
        <v>275</v>
      </c>
      <c r="K196" s="3" t="s">
        <v>147</v>
      </c>
      <c r="L196" s="3" t="s">
        <v>275</v>
      </c>
      <c r="O196" s="3">
        <v>71.0</v>
      </c>
      <c r="P196" s="3" t="s">
        <v>45</v>
      </c>
      <c r="Q196" s="3" t="s">
        <v>276</v>
      </c>
      <c r="R196" s="3" t="s">
        <v>148</v>
      </c>
      <c r="AI196" s="4" t="str">
        <f>HYPERLINK("https://www.senado.gob.ar/parlamentario/parlamentaria/ordenDelDiaResultadoLink/2026/34"," 34 2026 AP -")</f>
        <v> 34 2026 AP -</v>
      </c>
      <c r="AJ196" s="3" t="s">
        <v>225</v>
      </c>
      <c r="AK196" s="3" t="s">
        <v>48</v>
      </c>
      <c r="AM196" s="3" t="s">
        <v>222</v>
      </c>
    </row>
    <row r="197" ht="15.75" customHeight="1">
      <c r="A197" s="3" t="s">
        <v>39</v>
      </c>
      <c r="B197" s="4" t="str">
        <f>HYPERLINK("https://www.senado.gob.ar/parlamentario/comisiones/verExp/20.26/PE/AC","20")</f>
        <v>20</v>
      </c>
      <c r="C197" s="4" t="str">
        <f>HYPERLINK("https://www.senado.gob.ar/parlamentario/comisiones/verExp/20.26/PE/AC","2026")</f>
        <v>2026</v>
      </c>
      <c r="D197" s="3" t="s">
        <v>40</v>
      </c>
      <c r="E197" s="5" t="s">
        <v>319</v>
      </c>
      <c r="F197" s="3" t="s">
        <v>274</v>
      </c>
      <c r="H197" s="3" t="s">
        <v>222</v>
      </c>
      <c r="I197" s="3" t="s">
        <v>275</v>
      </c>
      <c r="K197" s="3" t="s">
        <v>147</v>
      </c>
      <c r="L197" s="3" t="s">
        <v>275</v>
      </c>
      <c r="O197" s="3">
        <v>71.0</v>
      </c>
      <c r="P197" s="3" t="s">
        <v>45</v>
      </c>
      <c r="Q197" s="3" t="s">
        <v>276</v>
      </c>
      <c r="R197" s="3" t="s">
        <v>148</v>
      </c>
      <c r="AI197" s="4" t="str">
        <f>HYPERLINK("https://www.senado.gob.ar/parlamentario/parlamentaria/ordenDelDiaResultadoLink/2026/33"," 33 2026 AP -")</f>
        <v> 33 2026 AP -</v>
      </c>
      <c r="AJ197" s="3" t="s">
        <v>225</v>
      </c>
      <c r="AK197" s="3" t="s">
        <v>48</v>
      </c>
      <c r="AM197" s="3" t="s">
        <v>222</v>
      </c>
    </row>
    <row r="198" ht="15.75" customHeight="1">
      <c r="A198" s="3" t="s">
        <v>39</v>
      </c>
      <c r="B198" s="4" t="str">
        <f>HYPERLINK("https://www.senado.gob.ar/parlamentario/comisiones/verExp/19.26/PE/AC","19")</f>
        <v>19</v>
      </c>
      <c r="C198" s="4" t="str">
        <f>HYPERLINK("https://www.senado.gob.ar/parlamentario/comisiones/verExp/19.26/PE/AC","2026")</f>
        <v>2026</v>
      </c>
      <c r="D198" s="3" t="s">
        <v>40</v>
      </c>
      <c r="E198" s="5" t="s">
        <v>320</v>
      </c>
      <c r="F198" s="3" t="s">
        <v>274</v>
      </c>
      <c r="H198" s="3" t="s">
        <v>222</v>
      </c>
      <c r="I198" s="3" t="s">
        <v>275</v>
      </c>
      <c r="K198" s="3" t="s">
        <v>147</v>
      </c>
      <c r="L198" s="3" t="s">
        <v>275</v>
      </c>
      <c r="O198" s="3">
        <v>71.0</v>
      </c>
      <c r="P198" s="3" t="s">
        <v>45</v>
      </c>
      <c r="Q198" s="3" t="s">
        <v>276</v>
      </c>
      <c r="R198" s="3" t="s">
        <v>148</v>
      </c>
      <c r="AI198" s="4" t="str">
        <f>HYPERLINK("https://www.senado.gob.ar/parlamentario/parlamentaria/ordenDelDiaResultadoLink/2026/32"," 32 2026 AP -")</f>
        <v> 32 2026 AP -</v>
      </c>
      <c r="AJ198" s="3" t="s">
        <v>225</v>
      </c>
      <c r="AK198" s="3" t="s">
        <v>48</v>
      </c>
      <c r="AM198" s="3" t="s">
        <v>222</v>
      </c>
    </row>
    <row r="199" ht="15.75" customHeight="1">
      <c r="A199" s="3" t="s">
        <v>39</v>
      </c>
      <c r="B199" s="4" t="str">
        <f>HYPERLINK("https://www.senado.gob.ar/parlamentario/comisiones/verExp/18.26/PE/AC","18")</f>
        <v>18</v>
      </c>
      <c r="C199" s="4" t="str">
        <f>HYPERLINK("https://www.senado.gob.ar/parlamentario/comisiones/verExp/18.26/PE/AC","2026")</f>
        <v>2026</v>
      </c>
      <c r="D199" s="3" t="s">
        <v>40</v>
      </c>
      <c r="E199" s="5" t="s">
        <v>321</v>
      </c>
      <c r="F199" s="3" t="s">
        <v>274</v>
      </c>
      <c r="H199" s="3" t="s">
        <v>222</v>
      </c>
      <c r="I199" s="3" t="s">
        <v>275</v>
      </c>
      <c r="K199" s="3" t="s">
        <v>147</v>
      </c>
      <c r="L199" s="3" t="s">
        <v>275</v>
      </c>
      <c r="O199" s="3">
        <v>71.0</v>
      </c>
      <c r="P199" s="3" t="s">
        <v>45</v>
      </c>
      <c r="Q199" s="3" t="s">
        <v>276</v>
      </c>
      <c r="R199" s="3" t="s">
        <v>148</v>
      </c>
      <c r="AI199" s="4" t="str">
        <f>HYPERLINK("https://www.senado.gob.ar/parlamentario/parlamentaria/ordenDelDiaResultadoLink/2026/31"," 31 2026 AP -")</f>
        <v> 31 2026 AP -</v>
      </c>
      <c r="AJ199" s="3" t="s">
        <v>225</v>
      </c>
      <c r="AK199" s="3" t="s">
        <v>48</v>
      </c>
      <c r="AM199" s="3" t="s">
        <v>222</v>
      </c>
    </row>
    <row r="200" ht="15.75" customHeight="1">
      <c r="A200" s="3" t="s">
        <v>39</v>
      </c>
      <c r="B200" s="4" t="str">
        <f>HYPERLINK("https://www.senado.gob.ar/parlamentario/comisiones/verExp/17.26/PE/AC","17")</f>
        <v>17</v>
      </c>
      <c r="C200" s="4" t="str">
        <f>HYPERLINK("https://www.senado.gob.ar/parlamentario/comisiones/verExp/17.26/PE/AC","2026")</f>
        <v>2026</v>
      </c>
      <c r="D200" s="3" t="s">
        <v>40</v>
      </c>
      <c r="E200" s="5" t="s">
        <v>322</v>
      </c>
      <c r="F200" s="3" t="s">
        <v>274</v>
      </c>
      <c r="H200" s="3" t="s">
        <v>222</v>
      </c>
      <c r="I200" s="3" t="s">
        <v>275</v>
      </c>
      <c r="K200" s="3" t="s">
        <v>147</v>
      </c>
      <c r="L200" s="3" t="s">
        <v>275</v>
      </c>
      <c r="O200" s="3">
        <v>71.0</v>
      </c>
      <c r="P200" s="3" t="s">
        <v>45</v>
      </c>
      <c r="Q200" s="3" t="s">
        <v>276</v>
      </c>
      <c r="R200" s="3" t="s">
        <v>148</v>
      </c>
      <c r="AI200" s="4" t="str">
        <f>HYPERLINK("https://www.senado.gob.ar/parlamentario/parlamentaria/ordenDelDiaResultadoLink/2026/30"," 30 2026 AP -")</f>
        <v> 30 2026 AP -</v>
      </c>
      <c r="AJ200" s="3" t="s">
        <v>225</v>
      </c>
      <c r="AK200" s="3" t="s">
        <v>48</v>
      </c>
      <c r="AM200" s="3" t="s">
        <v>222</v>
      </c>
    </row>
    <row r="201" ht="15.75" customHeight="1">
      <c r="A201" s="3" t="s">
        <v>39</v>
      </c>
      <c r="B201" s="4" t="str">
        <f>HYPERLINK("https://www.senado.gob.ar/parlamentario/comisiones/verExp/16.26/PE/AC","16")</f>
        <v>16</v>
      </c>
      <c r="C201" s="4" t="str">
        <f>HYPERLINK("https://www.senado.gob.ar/parlamentario/comisiones/verExp/16.26/PE/AC","2026")</f>
        <v>2026</v>
      </c>
      <c r="D201" s="3" t="s">
        <v>40</v>
      </c>
      <c r="E201" s="5" t="s">
        <v>323</v>
      </c>
      <c r="F201" s="3" t="s">
        <v>274</v>
      </c>
      <c r="H201" s="3" t="s">
        <v>222</v>
      </c>
      <c r="I201" s="3" t="s">
        <v>275</v>
      </c>
      <c r="K201" s="3" t="s">
        <v>142</v>
      </c>
      <c r="L201" s="3" t="s">
        <v>275</v>
      </c>
      <c r="O201" s="3">
        <v>71.0</v>
      </c>
      <c r="P201" s="3" t="s">
        <v>45</v>
      </c>
      <c r="Q201" s="3" t="s">
        <v>276</v>
      </c>
      <c r="R201" s="3" t="s">
        <v>143</v>
      </c>
      <c r="AI201" s="4" t="str">
        <f>HYPERLINK("https://www.senado.gob.ar/parlamentario/parlamentaria/ordenDelDiaResultadoLink/2026/59"," 59 2026 AP -")</f>
        <v> 59 2026 AP -</v>
      </c>
      <c r="AJ201" s="3" t="s">
        <v>225</v>
      </c>
      <c r="AK201" s="3" t="s">
        <v>48</v>
      </c>
      <c r="AM201" s="3" t="s">
        <v>222</v>
      </c>
    </row>
    <row r="202" ht="15.75" customHeight="1">
      <c r="A202" s="3" t="s">
        <v>39</v>
      </c>
      <c r="B202" s="4" t="str">
        <f>HYPERLINK("https://www.senado.gob.ar/parlamentario/comisiones/verExp/15.26/PE/AC","15")</f>
        <v>15</v>
      </c>
      <c r="C202" s="4" t="str">
        <f>HYPERLINK("https://www.senado.gob.ar/parlamentario/comisiones/verExp/15.26/PE/AC","2026")</f>
        <v>2026</v>
      </c>
      <c r="D202" s="3" t="s">
        <v>40</v>
      </c>
      <c r="E202" s="5" t="s">
        <v>324</v>
      </c>
      <c r="F202" s="3" t="s">
        <v>274</v>
      </c>
      <c r="H202" s="3" t="s">
        <v>222</v>
      </c>
      <c r="I202" s="3" t="s">
        <v>275</v>
      </c>
      <c r="K202" s="3" t="s">
        <v>147</v>
      </c>
      <c r="L202" s="3" t="s">
        <v>275</v>
      </c>
      <c r="O202" s="3">
        <v>71.0</v>
      </c>
      <c r="P202" s="3" t="s">
        <v>45</v>
      </c>
      <c r="Q202" s="3" t="s">
        <v>276</v>
      </c>
      <c r="R202" s="3" t="s">
        <v>148</v>
      </c>
      <c r="AI202" s="4" t="str">
        <f>HYPERLINK("https://www.senado.gob.ar/parlamentario/parlamentaria/ordenDelDiaResultadoLink/2026/29"," 29 2026 AP -")</f>
        <v> 29 2026 AP -</v>
      </c>
      <c r="AJ202" s="3" t="s">
        <v>225</v>
      </c>
      <c r="AK202" s="3" t="s">
        <v>48</v>
      </c>
      <c r="AM202" s="3" t="s">
        <v>222</v>
      </c>
    </row>
    <row r="203" ht="15.75" customHeight="1">
      <c r="E203" s="5"/>
    </row>
    <row r="204" ht="15.75" customHeight="1">
      <c r="E204" s="5"/>
    </row>
    <row r="205" ht="15.75" customHeight="1">
      <c r="E205" s="5"/>
    </row>
    <row r="206" ht="15.75" customHeight="1">
      <c r="E206" s="5"/>
    </row>
    <row r="207" ht="15.75" customHeight="1">
      <c r="E207" s="5"/>
    </row>
    <row r="208" ht="15.75" customHeight="1">
      <c r="E208" s="5"/>
    </row>
    <row r="209" ht="15.75" customHeight="1">
      <c r="E209" s="5"/>
    </row>
    <row r="210" ht="15.75" customHeight="1">
      <c r="E210" s="5"/>
    </row>
    <row r="211" ht="15.75" customHeight="1">
      <c r="E211" s="5"/>
    </row>
    <row r="212" ht="15.75" customHeight="1">
      <c r="E212" s="5"/>
    </row>
    <row r="213" ht="15.75" customHeight="1">
      <c r="E213" s="5"/>
    </row>
    <row r="214" ht="15.75" customHeight="1">
      <c r="E214" s="5"/>
    </row>
    <row r="215" ht="15.75" customHeight="1">
      <c r="E215" s="5"/>
    </row>
    <row r="216" ht="15.75" customHeight="1">
      <c r="E216" s="5"/>
    </row>
    <row r="217" ht="15.75" customHeight="1">
      <c r="E217" s="5"/>
    </row>
    <row r="218" ht="15.75" customHeight="1">
      <c r="E218" s="5"/>
    </row>
    <row r="219" ht="15.75" customHeight="1">
      <c r="E219" s="5"/>
    </row>
    <row r="220" ht="15.75" customHeight="1">
      <c r="E220" s="5"/>
    </row>
    <row r="221" ht="15.75" customHeight="1">
      <c r="E221" s="5"/>
    </row>
    <row r="222" ht="15.75" customHeight="1">
      <c r="E222" s="5"/>
    </row>
    <row r="223" ht="15.75" customHeight="1">
      <c r="E223" s="5"/>
    </row>
    <row r="224" ht="15.75" customHeight="1">
      <c r="E224" s="5"/>
    </row>
    <row r="225" ht="15.75" customHeight="1">
      <c r="E225" s="5"/>
    </row>
    <row r="226" ht="15.75" customHeight="1">
      <c r="E226" s="5"/>
    </row>
    <row r="227" ht="15.75" customHeight="1">
      <c r="E227" s="5"/>
    </row>
    <row r="228" ht="15.75" customHeight="1">
      <c r="E228" s="5"/>
    </row>
    <row r="229" ht="15.75" customHeight="1">
      <c r="E229" s="5"/>
    </row>
    <row r="230" ht="15.75" customHeight="1">
      <c r="E230" s="5"/>
    </row>
    <row r="231" ht="15.75" customHeight="1">
      <c r="E231" s="5"/>
    </row>
    <row r="232" ht="15.75" customHeight="1">
      <c r="E232" s="5"/>
    </row>
    <row r="233" ht="15.75" customHeight="1">
      <c r="E233" s="5"/>
    </row>
    <row r="234" ht="15.75" customHeight="1">
      <c r="E234" s="5"/>
    </row>
    <row r="235" ht="15.75" customHeight="1">
      <c r="E235" s="5"/>
    </row>
    <row r="236" ht="15.75" customHeight="1">
      <c r="E236" s="5"/>
    </row>
    <row r="237" ht="15.75" customHeight="1">
      <c r="E237" s="5"/>
    </row>
    <row r="238" ht="15.75" customHeight="1">
      <c r="E238" s="5"/>
    </row>
    <row r="239" ht="15.75" customHeight="1">
      <c r="E239" s="5"/>
    </row>
    <row r="240" ht="15.75" customHeight="1">
      <c r="E240" s="5"/>
    </row>
    <row r="241" ht="15.75" customHeight="1">
      <c r="E241" s="5"/>
    </row>
    <row r="242" ht="15.75" customHeight="1">
      <c r="E242" s="5"/>
    </row>
    <row r="243" ht="15.75" customHeight="1">
      <c r="E243" s="5"/>
    </row>
    <row r="244" ht="15.75" customHeight="1">
      <c r="E244" s="5"/>
    </row>
    <row r="245" ht="15.75" customHeight="1">
      <c r="E245" s="5"/>
    </row>
    <row r="246" ht="15.75" customHeight="1">
      <c r="E246" s="5"/>
    </row>
    <row r="247" ht="15.75" customHeight="1">
      <c r="E247" s="5"/>
    </row>
    <row r="248" ht="15.75" customHeight="1">
      <c r="E248" s="5"/>
    </row>
    <row r="249" ht="15.75" customHeight="1">
      <c r="E249" s="5"/>
    </row>
    <row r="250" ht="15.75" customHeight="1">
      <c r="E250" s="5"/>
    </row>
    <row r="251" ht="15.75" customHeight="1">
      <c r="E251" s="5"/>
    </row>
    <row r="252" ht="15.75" customHeight="1">
      <c r="E252" s="5"/>
    </row>
    <row r="253" ht="15.75" customHeight="1">
      <c r="E253" s="5"/>
    </row>
    <row r="254" ht="15.75" customHeight="1">
      <c r="E254" s="5"/>
    </row>
    <row r="255" ht="15.75" customHeight="1">
      <c r="E255" s="5"/>
    </row>
    <row r="256" ht="15.75" customHeight="1">
      <c r="E256" s="5"/>
    </row>
    <row r="257" ht="15.75" customHeight="1">
      <c r="E257" s="5"/>
    </row>
    <row r="258" ht="15.75" customHeight="1">
      <c r="E258" s="5"/>
    </row>
    <row r="259" ht="15.75" customHeight="1">
      <c r="E259" s="5"/>
    </row>
    <row r="260" ht="15.75" customHeight="1">
      <c r="E260" s="5"/>
    </row>
    <row r="261" ht="15.75" customHeight="1">
      <c r="E261" s="5"/>
    </row>
    <row r="262" ht="15.75" customHeight="1">
      <c r="E262" s="5"/>
    </row>
    <row r="263" ht="15.75" customHeight="1">
      <c r="E263" s="5"/>
    </row>
    <row r="264" ht="15.75" customHeight="1">
      <c r="E264" s="5"/>
    </row>
    <row r="265" ht="15.75" customHeight="1">
      <c r="E265" s="5"/>
    </row>
    <row r="266" ht="15.75" customHeight="1">
      <c r="E266" s="5"/>
    </row>
    <row r="267" ht="15.75" customHeight="1">
      <c r="E267" s="5"/>
    </row>
    <row r="268" ht="15.75" customHeight="1">
      <c r="E268" s="5"/>
    </row>
    <row r="269" ht="15.75" customHeight="1">
      <c r="E269" s="5"/>
    </row>
    <row r="270" ht="15.75" customHeight="1">
      <c r="E270" s="5"/>
    </row>
    <row r="271" ht="15.75" customHeight="1">
      <c r="E271" s="5"/>
    </row>
    <row r="272" ht="15.75" customHeight="1">
      <c r="E272" s="5"/>
    </row>
    <row r="273" ht="15.75" customHeight="1">
      <c r="E273" s="5"/>
    </row>
    <row r="274" ht="15.75" customHeight="1">
      <c r="E274" s="5"/>
    </row>
    <row r="275" ht="15.75" customHeight="1">
      <c r="E275" s="5"/>
    </row>
    <row r="276" ht="15.75" customHeight="1">
      <c r="E276" s="5"/>
    </row>
    <row r="277" ht="15.75" customHeight="1">
      <c r="E277" s="5"/>
    </row>
    <row r="278" ht="15.75" customHeight="1">
      <c r="E278" s="5"/>
    </row>
    <row r="279" ht="15.75" customHeight="1">
      <c r="E279" s="5"/>
    </row>
    <row r="280" ht="15.75" customHeight="1">
      <c r="E280" s="5"/>
    </row>
    <row r="281" ht="15.75" customHeight="1">
      <c r="E281" s="5"/>
    </row>
    <row r="282" ht="15.75" customHeight="1">
      <c r="E282" s="5"/>
    </row>
    <row r="283" ht="15.75" customHeight="1">
      <c r="E283" s="5"/>
    </row>
    <row r="284" ht="15.75" customHeight="1">
      <c r="E284" s="5"/>
    </row>
    <row r="285" ht="15.75" customHeight="1">
      <c r="E285" s="5"/>
    </row>
    <row r="286" ht="15.75" customHeight="1">
      <c r="E286" s="5"/>
    </row>
    <row r="287" ht="15.75" customHeight="1">
      <c r="E287" s="5"/>
    </row>
    <row r="288" ht="15.75" customHeight="1">
      <c r="E288" s="5"/>
    </row>
    <row r="289" ht="15.75" customHeight="1">
      <c r="E289" s="5"/>
    </row>
    <row r="290" ht="15.75" customHeight="1">
      <c r="E290" s="5"/>
    </row>
    <row r="291" ht="15.75" customHeight="1">
      <c r="E291" s="5"/>
    </row>
    <row r="292" ht="15.75" customHeight="1">
      <c r="E292" s="5"/>
    </row>
    <row r="293" ht="15.75" customHeight="1">
      <c r="E293" s="5"/>
    </row>
    <row r="294" ht="15.75" customHeight="1">
      <c r="E294" s="5"/>
    </row>
    <row r="295" ht="15.75" customHeight="1">
      <c r="E295" s="5"/>
    </row>
    <row r="296" ht="15.75" customHeight="1">
      <c r="E296" s="5"/>
    </row>
    <row r="297" ht="15.75" customHeight="1">
      <c r="E297" s="5"/>
    </row>
    <row r="298" ht="15.75" customHeight="1">
      <c r="E298" s="5"/>
    </row>
    <row r="299" ht="15.75" customHeight="1">
      <c r="E299" s="5"/>
    </row>
    <row r="300" ht="15.75" customHeight="1">
      <c r="E300" s="5"/>
    </row>
    <row r="301" ht="15.75" customHeight="1">
      <c r="E301" s="5"/>
    </row>
    <row r="302" ht="15.75" customHeight="1">
      <c r="E302" s="5"/>
    </row>
    <row r="303" ht="15.75" customHeight="1">
      <c r="E303" s="5"/>
    </row>
    <row r="304" ht="15.75" customHeight="1">
      <c r="E304" s="5"/>
    </row>
    <row r="305" ht="15.75" customHeight="1">
      <c r="E305" s="5"/>
    </row>
    <row r="306" ht="15.75" customHeight="1">
      <c r="E306" s="5"/>
    </row>
    <row r="307" ht="15.75" customHeight="1">
      <c r="E307" s="5"/>
    </row>
    <row r="308" ht="15.75" customHeight="1">
      <c r="E308" s="5"/>
    </row>
    <row r="309" ht="15.75" customHeight="1">
      <c r="E309" s="5"/>
    </row>
    <row r="310" ht="15.75" customHeight="1">
      <c r="E310" s="5"/>
    </row>
    <row r="311" ht="15.75" customHeight="1">
      <c r="E311" s="5"/>
    </row>
    <row r="312" ht="15.75" customHeight="1">
      <c r="E312" s="5"/>
    </row>
    <row r="313" ht="15.75" customHeight="1">
      <c r="E313" s="5"/>
    </row>
    <row r="314" ht="15.75" customHeight="1">
      <c r="E314" s="5"/>
    </row>
    <row r="315" ht="15.75" customHeight="1">
      <c r="E315" s="5"/>
    </row>
    <row r="316" ht="15.75" customHeight="1">
      <c r="E316" s="5"/>
    </row>
    <row r="317" ht="15.75" customHeight="1">
      <c r="E317" s="5"/>
    </row>
    <row r="318" ht="15.75" customHeight="1">
      <c r="E318" s="5"/>
    </row>
    <row r="319" ht="15.75" customHeight="1">
      <c r="E319" s="5"/>
    </row>
    <row r="320" ht="15.75" customHeight="1">
      <c r="E320" s="5"/>
    </row>
    <row r="321" ht="15.75" customHeight="1">
      <c r="E321" s="5"/>
    </row>
    <row r="322" ht="15.75" customHeight="1">
      <c r="E322" s="5"/>
    </row>
    <row r="323" ht="15.75" customHeight="1">
      <c r="E323" s="5"/>
    </row>
    <row r="324" ht="15.75" customHeight="1">
      <c r="E324" s="5"/>
    </row>
    <row r="325" ht="15.75" customHeight="1">
      <c r="E325" s="5"/>
    </row>
    <row r="326" ht="15.75" customHeight="1">
      <c r="E326" s="5"/>
    </row>
    <row r="327" ht="15.75" customHeight="1">
      <c r="E327" s="5"/>
    </row>
    <row r="328" ht="15.75" customHeight="1">
      <c r="E328" s="5"/>
    </row>
    <row r="329" ht="15.75" customHeight="1">
      <c r="E329" s="5"/>
    </row>
    <row r="330" ht="15.75" customHeight="1">
      <c r="E330" s="5"/>
    </row>
    <row r="331" ht="15.75" customHeight="1">
      <c r="E331" s="5"/>
    </row>
    <row r="332" ht="15.75" customHeight="1">
      <c r="E332" s="5"/>
    </row>
    <row r="333" ht="15.75" customHeight="1">
      <c r="E333" s="5"/>
    </row>
    <row r="334" ht="15.75" customHeight="1">
      <c r="E334" s="5"/>
    </row>
    <row r="335" ht="15.75" customHeight="1">
      <c r="E335" s="5"/>
    </row>
    <row r="336" ht="15.75" customHeight="1">
      <c r="E336" s="5"/>
    </row>
    <row r="337" ht="15.75" customHeight="1">
      <c r="E337" s="5"/>
    </row>
    <row r="338" ht="15.75" customHeight="1">
      <c r="E338" s="5"/>
    </row>
    <row r="339" ht="15.75" customHeight="1">
      <c r="E339" s="5"/>
    </row>
    <row r="340" ht="15.75" customHeight="1">
      <c r="E340" s="5"/>
    </row>
    <row r="341" ht="15.75" customHeight="1">
      <c r="E341" s="5"/>
    </row>
    <row r="342" ht="15.75" customHeight="1">
      <c r="E342" s="5"/>
    </row>
    <row r="343" ht="15.75" customHeight="1">
      <c r="E343" s="5"/>
    </row>
    <row r="344" ht="15.75" customHeight="1">
      <c r="E344" s="5"/>
    </row>
    <row r="345" ht="15.75" customHeight="1">
      <c r="E345" s="5"/>
    </row>
    <row r="346" ht="15.75" customHeight="1">
      <c r="E346" s="5"/>
    </row>
    <row r="347" ht="15.75" customHeight="1">
      <c r="E347" s="5"/>
    </row>
    <row r="348" ht="15.75" customHeight="1">
      <c r="E348" s="5"/>
    </row>
    <row r="349" ht="15.75" customHeight="1">
      <c r="E349" s="5"/>
    </row>
    <row r="350" ht="15.75" customHeight="1">
      <c r="E350" s="5"/>
    </row>
    <row r="351" ht="15.75" customHeight="1">
      <c r="E351" s="5"/>
    </row>
    <row r="352" ht="15.75" customHeight="1">
      <c r="E352" s="5"/>
    </row>
    <row r="353" ht="15.75" customHeight="1">
      <c r="E353" s="5"/>
    </row>
    <row r="354" ht="15.75" customHeight="1">
      <c r="E354" s="5"/>
    </row>
    <row r="355" ht="15.75" customHeight="1">
      <c r="E355" s="5"/>
    </row>
    <row r="356" ht="15.75" customHeight="1">
      <c r="E356" s="5"/>
    </row>
    <row r="357" ht="15.75" customHeight="1">
      <c r="E357" s="5"/>
    </row>
    <row r="358" ht="15.75" customHeight="1">
      <c r="E358" s="5"/>
    </row>
    <row r="359" ht="15.75" customHeight="1">
      <c r="E359" s="5"/>
    </row>
    <row r="360" ht="15.75" customHeight="1">
      <c r="E360" s="5"/>
    </row>
    <row r="361" ht="15.75" customHeight="1">
      <c r="E361" s="5"/>
    </row>
    <row r="362" ht="15.75" customHeight="1">
      <c r="E362" s="5"/>
    </row>
    <row r="363" ht="15.75" customHeight="1">
      <c r="E363" s="5"/>
    </row>
    <row r="364" ht="15.75" customHeight="1">
      <c r="E364" s="5"/>
    </row>
    <row r="365" ht="15.75" customHeight="1">
      <c r="E365" s="5"/>
    </row>
    <row r="366" ht="15.75" customHeight="1">
      <c r="E366" s="5"/>
    </row>
    <row r="367" ht="15.75" customHeight="1">
      <c r="E367" s="5"/>
    </row>
    <row r="368" ht="15.75" customHeight="1">
      <c r="E368" s="5"/>
    </row>
    <row r="369" ht="15.75" customHeight="1">
      <c r="E369" s="5"/>
    </row>
    <row r="370" ht="15.75" customHeight="1">
      <c r="E370" s="5"/>
    </row>
    <row r="371" ht="15.75" customHeight="1">
      <c r="E371" s="5"/>
    </row>
    <row r="372" ht="15.75" customHeight="1">
      <c r="E372" s="5"/>
    </row>
    <row r="373" ht="15.75" customHeight="1">
      <c r="E373" s="5"/>
    </row>
    <row r="374" ht="15.75" customHeight="1">
      <c r="E374" s="5"/>
    </row>
    <row r="375" ht="15.75" customHeight="1">
      <c r="E375" s="5"/>
    </row>
    <row r="376" ht="15.75" customHeight="1">
      <c r="E376" s="5"/>
    </row>
    <row r="377" ht="15.75" customHeight="1">
      <c r="E377" s="5"/>
    </row>
    <row r="378" ht="15.75" customHeight="1">
      <c r="E378" s="5"/>
    </row>
    <row r="379" ht="15.75" customHeight="1">
      <c r="E379" s="5"/>
    </row>
    <row r="380" ht="15.75" customHeight="1">
      <c r="E380" s="5"/>
    </row>
    <row r="381" ht="15.75" customHeight="1">
      <c r="E381" s="5"/>
    </row>
    <row r="382" ht="15.75" customHeight="1">
      <c r="E382" s="5"/>
    </row>
    <row r="383" ht="15.75" customHeight="1">
      <c r="E383" s="5"/>
    </row>
    <row r="384" ht="15.75" customHeight="1">
      <c r="E384" s="5"/>
    </row>
    <row r="385" ht="15.75" customHeight="1">
      <c r="E385" s="5"/>
    </row>
    <row r="386" ht="15.75" customHeight="1">
      <c r="E386" s="5"/>
    </row>
    <row r="387" ht="15.75" customHeight="1">
      <c r="E387" s="5"/>
    </row>
    <row r="388" ht="15.75" customHeight="1">
      <c r="E388" s="5"/>
    </row>
    <row r="389" ht="15.75" customHeight="1">
      <c r="E389" s="5"/>
    </row>
    <row r="390" ht="15.75" customHeight="1">
      <c r="E390" s="5"/>
    </row>
    <row r="391" ht="15.75" customHeight="1">
      <c r="E391" s="5"/>
    </row>
    <row r="392" ht="15.75" customHeight="1">
      <c r="E392" s="5"/>
    </row>
    <row r="393" ht="15.75" customHeight="1">
      <c r="E393" s="5"/>
    </row>
    <row r="394" ht="15.75" customHeight="1">
      <c r="E394" s="5"/>
    </row>
    <row r="395" ht="15.75" customHeight="1">
      <c r="E395" s="5"/>
    </row>
    <row r="396" ht="15.75" customHeight="1">
      <c r="E396" s="5"/>
    </row>
    <row r="397" ht="15.75" customHeight="1">
      <c r="E397" s="5"/>
    </row>
    <row r="398" ht="15.75" customHeight="1">
      <c r="E398" s="5"/>
    </row>
    <row r="399" ht="15.75" customHeight="1">
      <c r="E399" s="5"/>
    </row>
    <row r="400" ht="15.75" customHeight="1">
      <c r="E400" s="5"/>
    </row>
    <row r="401" ht="15.75" customHeight="1">
      <c r="E401" s="5"/>
    </row>
    <row r="402" ht="15.75" customHeight="1">
      <c r="E402" s="5"/>
    </row>
    <row r="403" ht="15.75" customHeight="1">
      <c r="E403" s="5"/>
    </row>
    <row r="404" ht="15.75" customHeight="1">
      <c r="E404" s="5"/>
    </row>
    <row r="405" ht="15.75" customHeight="1">
      <c r="E405" s="5"/>
    </row>
    <row r="406" ht="15.75" customHeight="1">
      <c r="E406" s="5"/>
    </row>
    <row r="407" ht="15.75" customHeight="1">
      <c r="E407" s="5"/>
    </row>
    <row r="408" ht="15.75" customHeight="1">
      <c r="E408" s="5"/>
    </row>
    <row r="409" ht="15.75" customHeight="1">
      <c r="E409" s="5"/>
    </row>
    <row r="410" ht="15.75" customHeight="1">
      <c r="E410" s="5"/>
    </row>
    <row r="411" ht="15.75" customHeight="1">
      <c r="E411" s="5"/>
    </row>
    <row r="412" ht="15.75" customHeight="1">
      <c r="E412" s="5"/>
    </row>
    <row r="413" ht="15.75" customHeight="1">
      <c r="E413" s="5"/>
    </row>
    <row r="414" ht="15.75" customHeight="1">
      <c r="E414" s="5"/>
    </row>
    <row r="415" ht="15.75" customHeight="1">
      <c r="E415" s="5"/>
    </row>
    <row r="416" ht="15.75" customHeight="1">
      <c r="E416" s="5"/>
    </row>
    <row r="417" ht="15.75" customHeight="1">
      <c r="E417" s="5"/>
    </row>
    <row r="418" ht="15.75" customHeight="1">
      <c r="E418" s="5"/>
    </row>
    <row r="419" ht="15.75" customHeight="1">
      <c r="E419" s="5"/>
    </row>
    <row r="420" ht="15.75" customHeight="1">
      <c r="E420" s="5"/>
    </row>
    <row r="421" ht="15.75" customHeight="1">
      <c r="E421" s="5"/>
    </row>
    <row r="422" ht="15.75" customHeight="1">
      <c r="E422" s="5"/>
    </row>
    <row r="423" ht="15.75" customHeight="1">
      <c r="E423" s="5"/>
    </row>
    <row r="424" ht="15.75" customHeight="1">
      <c r="E424" s="5"/>
    </row>
    <row r="425" ht="15.75" customHeight="1">
      <c r="E425" s="5"/>
    </row>
    <row r="426" ht="15.75" customHeight="1">
      <c r="E426" s="5"/>
    </row>
    <row r="427" ht="15.75" customHeight="1">
      <c r="E427" s="5"/>
    </row>
    <row r="428" ht="15.75" customHeight="1">
      <c r="E428" s="5"/>
    </row>
    <row r="429" ht="15.75" customHeight="1">
      <c r="E429" s="5"/>
    </row>
    <row r="430" ht="15.75" customHeight="1">
      <c r="E430" s="5"/>
    </row>
    <row r="431" ht="15.75" customHeight="1">
      <c r="E431" s="5"/>
    </row>
    <row r="432" ht="15.75" customHeight="1">
      <c r="E432" s="5"/>
    </row>
    <row r="433" ht="15.75" customHeight="1">
      <c r="E433" s="5"/>
    </row>
    <row r="434" ht="15.75" customHeight="1">
      <c r="E434" s="5"/>
    </row>
    <row r="435" ht="15.75" customHeight="1">
      <c r="E435" s="5"/>
    </row>
    <row r="436" ht="15.75" customHeight="1">
      <c r="E436" s="5"/>
    </row>
    <row r="437" ht="15.75" customHeight="1">
      <c r="E437" s="5"/>
    </row>
    <row r="438" ht="15.75" customHeight="1">
      <c r="E438" s="5"/>
    </row>
    <row r="439" ht="15.75" customHeight="1">
      <c r="E439" s="5"/>
    </row>
    <row r="440" ht="15.75" customHeight="1">
      <c r="E440" s="5"/>
    </row>
    <row r="441" ht="15.75" customHeight="1">
      <c r="E441" s="5"/>
    </row>
    <row r="442" ht="15.75" customHeight="1">
      <c r="E442" s="5"/>
    </row>
    <row r="443" ht="15.75" customHeight="1">
      <c r="E443" s="5"/>
    </row>
    <row r="444" ht="15.75" customHeight="1">
      <c r="E444" s="5"/>
    </row>
    <row r="445" ht="15.75" customHeight="1">
      <c r="E445" s="5"/>
    </row>
    <row r="446" ht="15.75" customHeight="1">
      <c r="E446" s="5"/>
    </row>
    <row r="447" ht="15.75" customHeight="1">
      <c r="E447" s="5"/>
    </row>
    <row r="448" ht="15.75" customHeight="1">
      <c r="E448" s="5"/>
    </row>
    <row r="449" ht="15.75" customHeight="1">
      <c r="E449" s="5"/>
    </row>
    <row r="450" ht="15.75" customHeight="1">
      <c r="E450" s="5"/>
    </row>
    <row r="451" ht="15.75" customHeight="1">
      <c r="E451" s="5"/>
    </row>
    <row r="452" ht="15.75" customHeight="1">
      <c r="E452" s="5"/>
    </row>
    <row r="453" ht="15.75" customHeight="1">
      <c r="E453" s="5"/>
    </row>
    <row r="454" ht="15.75" customHeight="1">
      <c r="E454" s="5"/>
    </row>
    <row r="455" ht="15.75" customHeight="1">
      <c r="E455" s="5"/>
    </row>
    <row r="456" ht="15.75" customHeight="1">
      <c r="E456" s="5"/>
    </row>
    <row r="457" ht="15.75" customHeight="1">
      <c r="E457" s="5"/>
    </row>
    <row r="458" ht="15.75" customHeight="1">
      <c r="E458" s="5"/>
    </row>
    <row r="459" ht="15.75" customHeight="1">
      <c r="E459" s="5"/>
    </row>
    <row r="460" ht="15.75" customHeight="1">
      <c r="E460" s="5"/>
    </row>
    <row r="461" ht="15.75" customHeight="1">
      <c r="E461" s="5"/>
    </row>
    <row r="462" ht="15.75" customHeight="1">
      <c r="E462" s="5"/>
    </row>
    <row r="463" ht="15.75" customHeight="1">
      <c r="E463" s="5"/>
    </row>
    <row r="464" ht="15.75" customHeight="1">
      <c r="E464" s="5"/>
    </row>
    <row r="465" ht="15.75" customHeight="1">
      <c r="E465" s="5"/>
    </row>
    <row r="466" ht="15.75" customHeight="1">
      <c r="E466" s="5"/>
    </row>
    <row r="467" ht="15.75" customHeight="1">
      <c r="E467" s="5"/>
    </row>
    <row r="468" ht="15.75" customHeight="1">
      <c r="E468" s="5"/>
    </row>
    <row r="469" ht="15.75" customHeight="1">
      <c r="E469" s="5"/>
    </row>
    <row r="470" ht="15.75" customHeight="1">
      <c r="E470" s="5"/>
    </row>
    <row r="471" ht="15.75" customHeight="1">
      <c r="E471" s="5"/>
    </row>
    <row r="472" ht="15.75" customHeight="1">
      <c r="E472" s="5"/>
    </row>
    <row r="473" ht="15.75" customHeight="1">
      <c r="E473" s="5"/>
    </row>
    <row r="474" ht="15.75" customHeight="1">
      <c r="E474" s="5"/>
    </row>
    <row r="475" ht="15.75" customHeight="1">
      <c r="E475" s="5"/>
    </row>
    <row r="476" ht="15.75" customHeight="1">
      <c r="E476" s="5"/>
    </row>
    <row r="477" ht="15.75" customHeight="1">
      <c r="E477" s="5"/>
    </row>
    <row r="478" ht="15.75" customHeight="1">
      <c r="E478" s="5"/>
    </row>
    <row r="479" ht="15.75" customHeight="1">
      <c r="E479" s="5"/>
    </row>
    <row r="480" ht="15.75" customHeight="1">
      <c r="E480" s="5"/>
    </row>
    <row r="481" ht="15.75" customHeight="1">
      <c r="E481" s="5"/>
    </row>
    <row r="482" ht="15.75" customHeight="1">
      <c r="E482" s="5"/>
    </row>
    <row r="483" ht="15.75" customHeight="1">
      <c r="E483" s="5"/>
    </row>
    <row r="484" ht="15.75" customHeight="1">
      <c r="E484" s="5"/>
    </row>
    <row r="485" ht="15.75" customHeight="1">
      <c r="E485" s="5"/>
    </row>
    <row r="486" ht="15.75" customHeight="1">
      <c r="E486" s="5"/>
    </row>
    <row r="487" ht="15.75" customHeight="1">
      <c r="E487" s="5"/>
    </row>
    <row r="488" ht="15.75" customHeight="1">
      <c r="E488" s="5"/>
    </row>
    <row r="489" ht="15.75" customHeight="1">
      <c r="E489" s="5"/>
    </row>
    <row r="490" ht="15.75" customHeight="1">
      <c r="E490" s="5"/>
    </row>
    <row r="491" ht="15.75" customHeight="1">
      <c r="E491" s="5"/>
    </row>
    <row r="492" ht="15.75" customHeight="1">
      <c r="E492" s="5"/>
    </row>
    <row r="493" ht="15.75" customHeight="1">
      <c r="E493" s="5"/>
    </row>
    <row r="494" ht="15.75" customHeight="1">
      <c r="E494" s="5"/>
    </row>
    <row r="495" ht="15.75" customHeight="1">
      <c r="E495" s="5"/>
    </row>
    <row r="496" ht="15.75" customHeight="1">
      <c r="E496" s="5"/>
    </row>
    <row r="497" ht="15.75" customHeight="1">
      <c r="E497" s="5"/>
    </row>
    <row r="498" ht="15.75" customHeight="1">
      <c r="E498" s="5"/>
    </row>
    <row r="499" ht="15.75" customHeight="1">
      <c r="E499" s="5"/>
    </row>
    <row r="500" ht="15.75" customHeight="1">
      <c r="E500" s="5"/>
    </row>
    <row r="501" ht="15.75" customHeight="1">
      <c r="E501" s="5"/>
    </row>
    <row r="502" ht="15.75" customHeight="1">
      <c r="E502" s="5"/>
    </row>
    <row r="503" ht="15.75" customHeight="1">
      <c r="E503" s="5"/>
    </row>
    <row r="504" ht="15.75" customHeight="1">
      <c r="E504" s="5"/>
    </row>
    <row r="505" ht="15.75" customHeight="1">
      <c r="E505" s="5"/>
    </row>
    <row r="506" ht="15.75" customHeight="1">
      <c r="E506" s="5"/>
    </row>
    <row r="507" ht="15.75" customHeight="1">
      <c r="E507" s="5"/>
    </row>
    <row r="508" ht="15.75" customHeight="1">
      <c r="E508" s="5"/>
    </row>
    <row r="509" ht="15.75" customHeight="1">
      <c r="E509" s="5"/>
    </row>
    <row r="510" ht="15.75" customHeight="1">
      <c r="E510" s="5"/>
    </row>
    <row r="511" ht="15.75" customHeight="1">
      <c r="E511" s="5"/>
    </row>
    <row r="512" ht="15.75" customHeight="1">
      <c r="E512" s="5"/>
    </row>
    <row r="513" ht="15.75" customHeight="1">
      <c r="E513" s="5"/>
    </row>
    <row r="514" ht="15.75" customHeight="1">
      <c r="E514" s="5"/>
    </row>
    <row r="515" ht="15.75" customHeight="1">
      <c r="E515" s="5"/>
    </row>
    <row r="516" ht="15.75" customHeight="1">
      <c r="E516" s="5"/>
    </row>
    <row r="517" ht="15.75" customHeight="1">
      <c r="E517" s="5"/>
    </row>
    <row r="518" ht="15.75" customHeight="1">
      <c r="E518" s="5"/>
    </row>
    <row r="519" ht="15.75" customHeight="1">
      <c r="E519" s="5"/>
    </row>
    <row r="520" ht="15.75" customHeight="1">
      <c r="E520" s="5"/>
    </row>
    <row r="521" ht="15.75" customHeight="1">
      <c r="E521" s="5"/>
    </row>
    <row r="522" ht="15.75" customHeight="1">
      <c r="E522" s="5"/>
    </row>
    <row r="523" ht="15.75" customHeight="1">
      <c r="E523" s="5"/>
    </row>
    <row r="524" ht="15.75" customHeight="1">
      <c r="E524" s="5"/>
    </row>
    <row r="525" ht="15.75" customHeight="1">
      <c r="E525" s="5"/>
    </row>
    <row r="526" ht="15.75" customHeight="1">
      <c r="E526" s="5"/>
    </row>
    <row r="527" ht="15.75" customHeight="1">
      <c r="E527" s="5"/>
    </row>
    <row r="528" ht="15.75" customHeight="1">
      <c r="E528" s="5"/>
    </row>
    <row r="529" ht="15.75" customHeight="1">
      <c r="E529" s="5"/>
    </row>
    <row r="530" ht="15.75" customHeight="1">
      <c r="E530" s="5"/>
    </row>
    <row r="531" ht="15.75" customHeight="1">
      <c r="E531" s="5"/>
    </row>
    <row r="532" ht="15.75" customHeight="1">
      <c r="E532" s="5"/>
    </row>
    <row r="533" ht="15.75" customHeight="1">
      <c r="E533" s="5"/>
    </row>
    <row r="534" ht="15.75" customHeight="1">
      <c r="E534" s="5"/>
    </row>
    <row r="535" ht="15.75" customHeight="1">
      <c r="E535" s="5"/>
    </row>
    <row r="536" ht="15.75" customHeight="1">
      <c r="E536" s="5"/>
    </row>
    <row r="537" ht="15.75" customHeight="1">
      <c r="E537" s="5"/>
    </row>
    <row r="538" ht="15.75" customHeight="1">
      <c r="E538" s="5"/>
    </row>
    <row r="539" ht="15.75" customHeight="1">
      <c r="E539" s="5"/>
    </row>
    <row r="540" ht="15.75" customHeight="1">
      <c r="E540" s="5"/>
    </row>
    <row r="541" ht="15.75" customHeight="1">
      <c r="E541" s="5"/>
    </row>
    <row r="542" ht="15.75" customHeight="1">
      <c r="E542" s="5"/>
    </row>
    <row r="543" ht="15.75" customHeight="1">
      <c r="E543" s="5"/>
    </row>
    <row r="544" ht="15.75" customHeight="1">
      <c r="E544" s="5"/>
    </row>
    <row r="545" ht="15.75" customHeight="1">
      <c r="E545" s="5"/>
    </row>
    <row r="546" ht="15.75" customHeight="1">
      <c r="E546" s="5"/>
    </row>
    <row r="547" ht="15.75" customHeight="1">
      <c r="E547" s="5"/>
    </row>
    <row r="548" ht="15.75" customHeight="1">
      <c r="E548" s="5"/>
    </row>
    <row r="549" ht="15.75" customHeight="1">
      <c r="E549" s="5"/>
    </row>
    <row r="550" ht="15.75" customHeight="1">
      <c r="E550" s="5"/>
    </row>
    <row r="551" ht="15.75" customHeight="1">
      <c r="E551" s="5"/>
    </row>
    <row r="552" ht="15.75" customHeight="1">
      <c r="E552" s="5"/>
    </row>
    <row r="553" ht="15.75" customHeight="1">
      <c r="E553" s="5"/>
    </row>
    <row r="554" ht="15.75" customHeight="1">
      <c r="E554" s="5"/>
    </row>
    <row r="555" ht="15.75" customHeight="1">
      <c r="E555" s="5"/>
    </row>
    <row r="556" ht="15.75" customHeight="1">
      <c r="E556" s="5"/>
    </row>
    <row r="557" ht="15.75" customHeight="1">
      <c r="E557" s="5"/>
    </row>
    <row r="558" ht="15.75" customHeight="1">
      <c r="E558" s="5"/>
    </row>
    <row r="559" ht="15.75" customHeight="1">
      <c r="E559" s="5"/>
    </row>
    <row r="560" ht="15.75" customHeight="1">
      <c r="E560" s="5"/>
    </row>
    <row r="561" ht="15.75" customHeight="1">
      <c r="E561" s="5"/>
    </row>
    <row r="562" ht="15.75" customHeight="1">
      <c r="E562" s="5"/>
    </row>
    <row r="563" ht="15.75" customHeight="1">
      <c r="E563" s="5"/>
    </row>
    <row r="564" ht="15.75" customHeight="1">
      <c r="E564" s="5"/>
    </row>
    <row r="565" ht="15.75" customHeight="1">
      <c r="E565" s="5"/>
    </row>
    <row r="566" ht="15.75" customHeight="1">
      <c r="E566" s="5"/>
    </row>
    <row r="567" ht="15.75" customHeight="1">
      <c r="E567" s="5"/>
    </row>
    <row r="568" ht="15.75" customHeight="1">
      <c r="E568" s="5"/>
    </row>
    <row r="569" ht="15.75" customHeight="1">
      <c r="E569" s="5"/>
    </row>
    <row r="570" ht="15.75" customHeight="1">
      <c r="E570" s="5"/>
    </row>
    <row r="571" ht="15.75" customHeight="1">
      <c r="E571" s="5"/>
    </row>
    <row r="572" ht="15.75" customHeight="1">
      <c r="E572" s="5"/>
    </row>
    <row r="573" ht="15.75" customHeight="1">
      <c r="E573" s="5"/>
    </row>
    <row r="574" ht="15.75" customHeight="1">
      <c r="E574" s="5"/>
    </row>
    <row r="575" ht="15.75" customHeight="1">
      <c r="E575" s="5"/>
    </row>
    <row r="576" ht="15.75" customHeight="1">
      <c r="E576" s="5"/>
    </row>
    <row r="577" ht="15.75" customHeight="1">
      <c r="E577" s="5"/>
    </row>
    <row r="578" ht="15.75" customHeight="1">
      <c r="E578" s="5"/>
    </row>
    <row r="579" ht="15.75" customHeight="1">
      <c r="E579" s="5"/>
    </row>
    <row r="580" ht="15.75" customHeight="1">
      <c r="E580" s="5"/>
    </row>
    <row r="581" ht="15.75" customHeight="1">
      <c r="E581" s="5"/>
    </row>
    <row r="582" ht="15.75" customHeight="1">
      <c r="E582" s="5"/>
    </row>
    <row r="583" ht="15.75" customHeight="1">
      <c r="E583" s="5"/>
    </row>
    <row r="584" ht="15.75" customHeight="1">
      <c r="E584" s="5"/>
    </row>
    <row r="585" ht="15.75" customHeight="1">
      <c r="E585" s="5"/>
    </row>
    <row r="586" ht="15.75" customHeight="1">
      <c r="E586" s="5"/>
    </row>
    <row r="587" ht="15.75" customHeight="1">
      <c r="E587" s="5"/>
    </row>
    <row r="588" ht="15.75" customHeight="1">
      <c r="E588" s="5"/>
    </row>
    <row r="589" ht="15.75" customHeight="1">
      <c r="E589" s="5"/>
    </row>
    <row r="590" ht="15.75" customHeight="1">
      <c r="E590" s="5"/>
    </row>
    <row r="591" ht="15.75" customHeight="1">
      <c r="E591" s="5"/>
    </row>
    <row r="592" ht="15.75" customHeight="1">
      <c r="E592" s="5"/>
    </row>
    <row r="593" ht="15.75" customHeight="1">
      <c r="E593" s="5"/>
    </row>
    <row r="594" ht="15.75" customHeight="1">
      <c r="E594" s="5"/>
    </row>
    <row r="595" ht="15.75" customHeight="1">
      <c r="E595" s="5"/>
    </row>
    <row r="596" ht="15.75" customHeight="1">
      <c r="E596" s="5"/>
    </row>
    <row r="597" ht="15.75" customHeight="1">
      <c r="E597" s="5"/>
    </row>
    <row r="598" ht="15.75" customHeight="1">
      <c r="E598" s="5"/>
    </row>
    <row r="599" ht="15.75" customHeight="1">
      <c r="E599" s="5"/>
    </row>
    <row r="600" ht="15.75" customHeight="1">
      <c r="E600" s="5"/>
    </row>
    <row r="601" ht="15.75" customHeight="1">
      <c r="E601" s="5"/>
    </row>
    <row r="602" ht="15.75" customHeight="1">
      <c r="E602" s="5"/>
    </row>
    <row r="603" ht="15.75" customHeight="1">
      <c r="E603" s="5"/>
    </row>
    <row r="604" ht="15.75" customHeight="1">
      <c r="E604" s="5"/>
    </row>
    <row r="605" ht="15.75" customHeight="1">
      <c r="E605" s="5"/>
    </row>
    <row r="606" ht="15.75" customHeight="1">
      <c r="E606" s="5"/>
    </row>
    <row r="607" ht="15.75" customHeight="1">
      <c r="E607" s="5"/>
    </row>
    <row r="608" ht="15.75" customHeight="1">
      <c r="E608" s="5"/>
    </row>
    <row r="609" ht="15.75" customHeight="1">
      <c r="E609" s="5"/>
    </row>
    <row r="610" ht="15.75" customHeight="1">
      <c r="E610" s="5"/>
    </row>
    <row r="611" ht="15.75" customHeight="1">
      <c r="E611" s="5"/>
    </row>
    <row r="612" ht="15.75" customHeight="1">
      <c r="E612" s="5"/>
    </row>
    <row r="613" ht="15.75" customHeight="1">
      <c r="E613" s="5"/>
    </row>
    <row r="614" ht="15.75" customHeight="1">
      <c r="E614" s="5"/>
    </row>
    <row r="615" ht="15.75" customHeight="1">
      <c r="E615" s="5"/>
    </row>
    <row r="616" ht="15.75" customHeight="1">
      <c r="E616" s="5"/>
    </row>
    <row r="617" ht="15.75" customHeight="1">
      <c r="E617" s="5"/>
    </row>
    <row r="618" ht="15.75" customHeight="1">
      <c r="E618" s="5"/>
    </row>
    <row r="619" ht="15.75" customHeight="1">
      <c r="E619" s="5"/>
    </row>
    <row r="620" ht="15.75" customHeight="1">
      <c r="E620" s="5"/>
    </row>
    <row r="621" ht="15.75" customHeight="1">
      <c r="E621" s="5"/>
    </row>
    <row r="622" ht="15.75" customHeight="1">
      <c r="E622" s="5"/>
    </row>
    <row r="623" ht="15.75" customHeight="1">
      <c r="E623" s="5"/>
    </row>
    <row r="624" ht="15.75" customHeight="1">
      <c r="E624" s="5"/>
    </row>
    <row r="625" ht="15.75" customHeight="1">
      <c r="E625" s="5"/>
    </row>
    <row r="626" ht="15.75" customHeight="1">
      <c r="E626" s="5"/>
    </row>
    <row r="627" ht="15.75" customHeight="1">
      <c r="E627" s="5"/>
    </row>
    <row r="628" ht="15.75" customHeight="1">
      <c r="E628" s="5"/>
    </row>
    <row r="629" ht="15.75" customHeight="1">
      <c r="E629" s="5"/>
    </row>
    <row r="630" ht="15.75" customHeight="1">
      <c r="E630" s="5"/>
    </row>
    <row r="631" ht="15.75" customHeight="1">
      <c r="E631" s="5"/>
    </row>
    <row r="632" ht="15.75" customHeight="1">
      <c r="E632" s="5"/>
    </row>
    <row r="633" ht="15.75" customHeight="1">
      <c r="E633" s="5"/>
    </row>
    <row r="634" ht="15.75" customHeight="1">
      <c r="E634" s="5"/>
    </row>
    <row r="635" ht="15.75" customHeight="1">
      <c r="E635" s="5"/>
    </row>
    <row r="636" ht="15.75" customHeight="1">
      <c r="E636" s="5"/>
    </row>
    <row r="637" ht="15.75" customHeight="1">
      <c r="E637" s="5"/>
    </row>
    <row r="638" ht="15.75" customHeight="1">
      <c r="E638" s="5"/>
    </row>
    <row r="639" ht="15.75" customHeight="1">
      <c r="E639" s="5"/>
    </row>
    <row r="640" ht="15.75" customHeight="1">
      <c r="E640" s="5"/>
    </row>
    <row r="641" ht="15.75" customHeight="1">
      <c r="E641" s="5"/>
    </row>
    <row r="642" ht="15.75" customHeight="1">
      <c r="E642" s="5"/>
    </row>
    <row r="643" ht="15.75" customHeight="1">
      <c r="E643" s="5"/>
    </row>
    <row r="644" ht="15.75" customHeight="1">
      <c r="E644" s="5"/>
    </row>
    <row r="645" ht="15.75" customHeight="1">
      <c r="E645" s="5"/>
    </row>
    <row r="646" ht="15.75" customHeight="1">
      <c r="E646" s="5"/>
    </row>
    <row r="647" ht="15.75" customHeight="1">
      <c r="E647" s="5"/>
    </row>
    <row r="648" ht="15.75" customHeight="1">
      <c r="E648" s="5"/>
    </row>
    <row r="649" ht="15.75" customHeight="1">
      <c r="E649" s="5"/>
    </row>
    <row r="650" ht="15.75" customHeight="1">
      <c r="E650" s="5"/>
    </row>
    <row r="651" ht="15.75" customHeight="1">
      <c r="E651" s="5"/>
    </row>
    <row r="652" ht="15.75" customHeight="1">
      <c r="E652" s="5"/>
    </row>
    <row r="653" ht="15.75" customHeight="1">
      <c r="E653" s="5"/>
    </row>
    <row r="654" ht="15.75" customHeight="1">
      <c r="E654" s="5"/>
    </row>
    <row r="655" ht="15.75" customHeight="1">
      <c r="E655" s="5"/>
    </row>
    <row r="656" ht="15.75" customHeight="1">
      <c r="E656" s="5"/>
    </row>
    <row r="657" ht="15.75" customHeight="1">
      <c r="E657" s="5"/>
    </row>
    <row r="658" ht="15.75" customHeight="1">
      <c r="E658" s="5"/>
    </row>
    <row r="659" ht="15.75" customHeight="1">
      <c r="E659" s="5"/>
    </row>
    <row r="660" ht="15.75" customHeight="1">
      <c r="E660" s="5"/>
    </row>
    <row r="661" ht="15.75" customHeight="1">
      <c r="E661" s="5"/>
    </row>
    <row r="662" ht="15.75" customHeight="1">
      <c r="E662" s="5"/>
    </row>
    <row r="663" ht="15.75" customHeight="1">
      <c r="E663" s="5"/>
    </row>
    <row r="664" ht="15.75" customHeight="1">
      <c r="E664" s="5"/>
    </row>
    <row r="665" ht="15.75" customHeight="1">
      <c r="E665" s="5"/>
    </row>
    <row r="666" ht="15.75" customHeight="1">
      <c r="E666" s="5"/>
    </row>
    <row r="667" ht="15.75" customHeight="1">
      <c r="E667" s="5"/>
    </row>
    <row r="668" ht="15.75" customHeight="1">
      <c r="E668" s="5"/>
    </row>
    <row r="669" ht="15.75" customHeight="1">
      <c r="E669" s="5"/>
    </row>
    <row r="670" ht="15.75" customHeight="1">
      <c r="E670" s="5"/>
    </row>
    <row r="671" ht="15.75" customHeight="1">
      <c r="E671" s="5"/>
    </row>
    <row r="672" ht="15.75" customHeight="1">
      <c r="E672" s="5"/>
    </row>
    <row r="673" ht="15.75" customHeight="1">
      <c r="E673" s="5"/>
    </row>
    <row r="674" ht="15.75" customHeight="1">
      <c r="E674" s="5"/>
    </row>
    <row r="675" ht="15.75" customHeight="1">
      <c r="E675" s="5"/>
    </row>
    <row r="676" ht="15.75" customHeight="1">
      <c r="E676" s="5"/>
    </row>
    <row r="677" ht="15.75" customHeight="1">
      <c r="E677" s="5"/>
    </row>
    <row r="678" ht="15.75" customHeight="1">
      <c r="E678" s="5"/>
    </row>
    <row r="679" ht="15.75" customHeight="1">
      <c r="E679" s="5"/>
    </row>
    <row r="680" ht="15.75" customHeight="1">
      <c r="E680" s="5"/>
    </row>
    <row r="681" ht="15.75" customHeight="1">
      <c r="E681" s="5"/>
    </row>
    <row r="682" ht="15.75" customHeight="1">
      <c r="E682" s="5"/>
    </row>
    <row r="683" ht="15.75" customHeight="1">
      <c r="E683" s="5"/>
    </row>
    <row r="684" ht="15.75" customHeight="1">
      <c r="E684" s="5"/>
    </row>
    <row r="685" ht="15.75" customHeight="1">
      <c r="E685" s="5"/>
    </row>
    <row r="686" ht="15.75" customHeight="1">
      <c r="E686" s="5"/>
    </row>
    <row r="687" ht="15.75" customHeight="1">
      <c r="E687" s="5"/>
    </row>
    <row r="688" ht="15.75" customHeight="1">
      <c r="E688" s="5"/>
    </row>
    <row r="689" ht="15.75" customHeight="1">
      <c r="E689" s="5"/>
    </row>
    <row r="690" ht="15.75" customHeight="1">
      <c r="E690" s="5"/>
    </row>
    <row r="691" ht="15.75" customHeight="1">
      <c r="E691" s="5"/>
    </row>
    <row r="692" ht="15.75" customHeight="1">
      <c r="E692" s="5"/>
    </row>
    <row r="693" ht="15.75" customHeight="1">
      <c r="E693" s="5"/>
    </row>
    <row r="694" ht="15.75" customHeight="1">
      <c r="E694" s="5"/>
    </row>
    <row r="695" ht="15.75" customHeight="1">
      <c r="E695" s="5"/>
    </row>
    <row r="696" ht="15.75" customHeight="1">
      <c r="E696" s="5"/>
    </row>
    <row r="697" ht="15.75" customHeight="1">
      <c r="E697" s="5"/>
    </row>
    <row r="698" ht="15.75" customHeight="1">
      <c r="E698" s="5"/>
    </row>
    <row r="699" ht="15.75" customHeight="1">
      <c r="E699" s="5"/>
    </row>
    <row r="700" ht="15.75" customHeight="1">
      <c r="E700" s="5"/>
    </row>
    <row r="701" ht="15.75" customHeight="1">
      <c r="E701" s="5"/>
    </row>
    <row r="702" ht="15.75" customHeight="1">
      <c r="E702" s="5"/>
    </row>
    <row r="703" ht="15.75" customHeight="1">
      <c r="E703" s="5"/>
    </row>
    <row r="704" ht="15.75" customHeight="1">
      <c r="E704" s="5"/>
    </row>
    <row r="705" ht="15.75" customHeight="1">
      <c r="E705" s="5"/>
    </row>
    <row r="706" ht="15.75" customHeight="1">
      <c r="E706" s="5"/>
    </row>
    <row r="707" ht="15.75" customHeight="1">
      <c r="E707" s="5"/>
    </row>
    <row r="708" ht="15.75" customHeight="1">
      <c r="E708" s="5"/>
    </row>
    <row r="709" ht="15.75" customHeight="1">
      <c r="E709" s="5"/>
    </row>
    <row r="710" ht="15.75" customHeight="1">
      <c r="E710" s="5"/>
    </row>
    <row r="711" ht="15.75" customHeight="1">
      <c r="E711" s="5"/>
    </row>
    <row r="712" ht="15.75" customHeight="1">
      <c r="E712" s="5"/>
    </row>
    <row r="713" ht="15.75" customHeight="1">
      <c r="E713" s="5"/>
    </row>
    <row r="714" ht="15.75" customHeight="1">
      <c r="E714" s="5"/>
    </row>
    <row r="715" ht="15.75" customHeight="1">
      <c r="E715" s="5"/>
    </row>
    <row r="716" ht="15.75" customHeight="1">
      <c r="E716" s="5"/>
    </row>
    <row r="717" ht="15.75" customHeight="1">
      <c r="E717" s="5"/>
    </row>
    <row r="718" ht="15.75" customHeight="1">
      <c r="E718" s="5"/>
    </row>
    <row r="719" ht="15.75" customHeight="1">
      <c r="E719" s="5"/>
    </row>
    <row r="720" ht="15.75" customHeight="1">
      <c r="E720" s="5"/>
    </row>
    <row r="721" ht="15.75" customHeight="1">
      <c r="E721" s="5"/>
    </row>
    <row r="722" ht="15.75" customHeight="1">
      <c r="E722" s="5"/>
    </row>
    <row r="723" ht="15.75" customHeight="1">
      <c r="E723" s="5"/>
    </row>
    <row r="724" ht="15.75" customHeight="1">
      <c r="E724" s="5"/>
    </row>
    <row r="725" ht="15.75" customHeight="1">
      <c r="E725" s="5"/>
    </row>
    <row r="726" ht="15.75" customHeight="1">
      <c r="E726" s="5"/>
    </row>
    <row r="727" ht="15.75" customHeight="1">
      <c r="E727" s="5"/>
    </row>
    <row r="728" ht="15.75" customHeight="1">
      <c r="E728" s="5"/>
    </row>
    <row r="729" ht="15.75" customHeight="1">
      <c r="E729" s="5"/>
    </row>
    <row r="730" ht="15.75" customHeight="1">
      <c r="E730" s="5"/>
    </row>
    <row r="731" ht="15.75" customHeight="1">
      <c r="E731" s="5"/>
    </row>
    <row r="732" ht="15.75" customHeight="1">
      <c r="E732" s="5"/>
    </row>
    <row r="733" ht="15.75" customHeight="1">
      <c r="E733" s="5"/>
    </row>
    <row r="734" ht="15.75" customHeight="1">
      <c r="E734" s="5"/>
    </row>
    <row r="735" ht="15.75" customHeight="1">
      <c r="E735" s="5"/>
    </row>
    <row r="736" ht="15.75" customHeight="1">
      <c r="E736" s="5"/>
    </row>
    <row r="737" ht="15.75" customHeight="1">
      <c r="E737" s="5"/>
    </row>
    <row r="738" ht="15.75" customHeight="1">
      <c r="E738" s="5"/>
    </row>
    <row r="739" ht="15.75" customHeight="1">
      <c r="E739" s="5"/>
    </row>
    <row r="740" ht="15.75" customHeight="1">
      <c r="E740" s="5"/>
    </row>
    <row r="741" ht="15.75" customHeight="1">
      <c r="E741" s="5"/>
    </row>
    <row r="742" ht="15.75" customHeight="1">
      <c r="E742" s="5"/>
    </row>
    <row r="743" ht="15.75" customHeight="1">
      <c r="E743" s="5"/>
    </row>
    <row r="744" ht="15.75" customHeight="1">
      <c r="E744" s="5"/>
    </row>
    <row r="745" ht="15.75" customHeight="1">
      <c r="E745" s="5"/>
    </row>
    <row r="746" ht="15.75" customHeight="1">
      <c r="E746" s="5"/>
    </row>
    <row r="747" ht="15.75" customHeight="1">
      <c r="E747" s="5"/>
    </row>
    <row r="748" ht="15.75" customHeight="1">
      <c r="E748" s="5"/>
    </row>
    <row r="749" ht="15.75" customHeight="1">
      <c r="E749" s="5"/>
    </row>
    <row r="750" ht="15.75" customHeight="1">
      <c r="E750" s="5"/>
    </row>
    <row r="751" ht="15.75" customHeight="1">
      <c r="E751" s="5"/>
    </row>
    <row r="752" ht="15.75" customHeight="1">
      <c r="E752" s="5"/>
    </row>
    <row r="753" ht="15.75" customHeight="1">
      <c r="E753" s="5"/>
    </row>
    <row r="754" ht="15.75" customHeight="1">
      <c r="E754" s="5"/>
    </row>
    <row r="755" ht="15.75" customHeight="1">
      <c r="E755" s="5"/>
    </row>
    <row r="756" ht="15.75" customHeight="1">
      <c r="E756" s="5"/>
    </row>
    <row r="757" ht="15.75" customHeight="1">
      <c r="E757" s="5"/>
    </row>
    <row r="758" ht="15.75" customHeight="1">
      <c r="E758" s="5"/>
    </row>
    <row r="759" ht="15.75" customHeight="1">
      <c r="E759" s="5"/>
    </row>
    <row r="760" ht="15.75" customHeight="1">
      <c r="E760" s="5"/>
    </row>
    <row r="761" ht="15.75" customHeight="1">
      <c r="E761" s="5"/>
    </row>
    <row r="762" ht="15.75" customHeight="1">
      <c r="E762" s="5"/>
    </row>
    <row r="763" ht="15.75" customHeight="1">
      <c r="E763" s="5"/>
    </row>
    <row r="764" ht="15.75" customHeight="1">
      <c r="E764" s="5"/>
    </row>
    <row r="765" ht="15.75" customHeight="1">
      <c r="E765" s="5"/>
    </row>
    <row r="766" ht="15.75" customHeight="1">
      <c r="E766" s="5"/>
    </row>
    <row r="767" ht="15.75" customHeight="1">
      <c r="E767" s="5"/>
    </row>
    <row r="768" ht="15.75" customHeight="1">
      <c r="E768" s="5"/>
    </row>
    <row r="769" ht="15.75" customHeight="1">
      <c r="E769" s="5"/>
    </row>
    <row r="770" ht="15.75" customHeight="1">
      <c r="E770" s="5"/>
    </row>
    <row r="771" ht="15.75" customHeight="1">
      <c r="E771" s="5"/>
    </row>
    <row r="772" ht="15.75" customHeight="1">
      <c r="E772" s="5"/>
    </row>
    <row r="773" ht="15.75" customHeight="1">
      <c r="E773" s="5"/>
    </row>
    <row r="774" ht="15.75" customHeight="1">
      <c r="E774" s="5"/>
    </row>
    <row r="775" ht="15.75" customHeight="1">
      <c r="E775" s="5"/>
    </row>
    <row r="776" ht="15.75" customHeight="1">
      <c r="E776" s="5"/>
    </row>
    <row r="777" ht="15.75" customHeight="1">
      <c r="E777" s="5"/>
    </row>
    <row r="778" ht="15.75" customHeight="1">
      <c r="E778" s="5"/>
    </row>
    <row r="779" ht="15.75" customHeight="1">
      <c r="E779" s="5"/>
    </row>
    <row r="780" ht="15.75" customHeight="1">
      <c r="E780" s="5"/>
    </row>
    <row r="781" ht="15.75" customHeight="1">
      <c r="E781" s="5"/>
    </row>
    <row r="782" ht="15.75" customHeight="1">
      <c r="E782" s="5"/>
    </row>
    <row r="783" ht="15.75" customHeight="1">
      <c r="E783" s="5"/>
    </row>
    <row r="784" ht="15.75" customHeight="1">
      <c r="E784" s="5"/>
    </row>
    <row r="785" ht="15.75" customHeight="1">
      <c r="E785" s="5"/>
    </row>
    <row r="786" ht="15.75" customHeight="1">
      <c r="E786" s="5"/>
    </row>
    <row r="787" ht="15.75" customHeight="1">
      <c r="E787" s="5"/>
    </row>
    <row r="788" ht="15.75" customHeight="1">
      <c r="E788" s="5"/>
    </row>
    <row r="789" ht="15.75" customHeight="1">
      <c r="E789" s="5"/>
    </row>
    <row r="790" ht="15.75" customHeight="1">
      <c r="E790" s="5"/>
    </row>
    <row r="791" ht="15.75" customHeight="1">
      <c r="E791" s="5"/>
    </row>
    <row r="792" ht="15.75" customHeight="1">
      <c r="E792" s="5"/>
    </row>
    <row r="793" ht="15.75" customHeight="1">
      <c r="E793" s="5"/>
    </row>
    <row r="794" ht="15.75" customHeight="1">
      <c r="E794" s="5"/>
    </row>
    <row r="795" ht="15.75" customHeight="1">
      <c r="E795" s="5"/>
    </row>
    <row r="796" ht="15.75" customHeight="1">
      <c r="E796" s="5"/>
    </row>
    <row r="797" ht="15.75" customHeight="1">
      <c r="E797" s="5"/>
    </row>
    <row r="798" ht="15.75" customHeight="1">
      <c r="E798" s="5"/>
    </row>
    <row r="799" ht="15.75" customHeight="1">
      <c r="E799" s="5"/>
    </row>
    <row r="800" ht="15.75" customHeight="1">
      <c r="E800" s="5"/>
    </row>
    <row r="801" ht="15.75" customHeight="1">
      <c r="E801" s="5"/>
    </row>
    <row r="802" ht="15.75" customHeight="1">
      <c r="E802" s="5"/>
    </row>
    <row r="803" ht="15.75" customHeight="1">
      <c r="E803" s="5"/>
    </row>
    <row r="804" ht="15.75" customHeight="1">
      <c r="E804" s="5"/>
    </row>
    <row r="805" ht="15.75" customHeight="1">
      <c r="E805" s="5"/>
    </row>
    <row r="806" ht="15.75" customHeight="1">
      <c r="E806" s="5"/>
    </row>
    <row r="807" ht="15.75" customHeight="1">
      <c r="E807" s="5"/>
    </row>
    <row r="808" ht="15.75" customHeight="1">
      <c r="E808" s="5"/>
    </row>
    <row r="809" ht="15.75" customHeight="1">
      <c r="E809" s="5"/>
    </row>
    <row r="810" ht="15.75" customHeight="1">
      <c r="E810" s="5"/>
    </row>
    <row r="811" ht="15.75" customHeight="1">
      <c r="E811" s="5"/>
    </row>
    <row r="812" ht="15.75" customHeight="1">
      <c r="E812" s="5"/>
    </row>
    <row r="813" ht="15.75" customHeight="1">
      <c r="E813" s="5"/>
    </row>
    <row r="814" ht="15.75" customHeight="1">
      <c r="E814" s="5"/>
    </row>
    <row r="815" ht="15.75" customHeight="1">
      <c r="E815" s="5"/>
    </row>
    <row r="816" ht="15.75" customHeight="1">
      <c r="E816" s="5"/>
    </row>
    <row r="817" ht="15.75" customHeight="1">
      <c r="E817" s="5"/>
    </row>
    <row r="818" ht="15.75" customHeight="1">
      <c r="E818" s="5"/>
    </row>
    <row r="819" ht="15.75" customHeight="1">
      <c r="E819" s="5"/>
    </row>
    <row r="820" ht="15.75" customHeight="1">
      <c r="E820" s="5"/>
    </row>
    <row r="821" ht="15.75" customHeight="1">
      <c r="E821" s="5"/>
    </row>
    <row r="822" ht="15.75" customHeight="1">
      <c r="E822" s="5"/>
    </row>
    <row r="823" ht="15.75" customHeight="1">
      <c r="E823" s="5"/>
    </row>
    <row r="824" ht="15.75" customHeight="1">
      <c r="E824" s="5"/>
    </row>
    <row r="825" ht="15.75" customHeight="1">
      <c r="E825" s="5"/>
    </row>
    <row r="826" ht="15.75" customHeight="1">
      <c r="E826" s="5"/>
    </row>
    <row r="827" ht="15.75" customHeight="1">
      <c r="E827" s="5"/>
    </row>
    <row r="828" ht="15.75" customHeight="1">
      <c r="E828" s="5"/>
    </row>
    <row r="829" ht="15.75" customHeight="1">
      <c r="E829" s="5"/>
    </row>
    <row r="830" ht="15.75" customHeight="1">
      <c r="E830" s="5"/>
    </row>
    <row r="831" ht="15.75" customHeight="1">
      <c r="E831" s="5"/>
    </row>
    <row r="832" ht="15.75" customHeight="1">
      <c r="E832" s="5"/>
    </row>
    <row r="833" ht="15.75" customHeight="1">
      <c r="E833" s="5"/>
    </row>
    <row r="834" ht="15.75" customHeight="1">
      <c r="E834" s="5"/>
    </row>
    <row r="835" ht="15.75" customHeight="1">
      <c r="E835" s="5"/>
    </row>
    <row r="836" ht="15.75" customHeight="1">
      <c r="E836" s="5"/>
    </row>
    <row r="837" ht="15.75" customHeight="1">
      <c r="E837" s="5"/>
    </row>
    <row r="838" ht="15.75" customHeight="1">
      <c r="E838" s="5"/>
    </row>
    <row r="839" ht="15.75" customHeight="1">
      <c r="E839" s="5"/>
    </row>
    <row r="840" ht="15.75" customHeight="1">
      <c r="E840" s="5"/>
    </row>
    <row r="841" ht="15.75" customHeight="1">
      <c r="E841" s="5"/>
    </row>
    <row r="842" ht="15.75" customHeight="1">
      <c r="E842" s="5"/>
    </row>
    <row r="843" ht="15.75" customHeight="1">
      <c r="E843" s="5"/>
    </row>
    <row r="844" ht="15.75" customHeight="1">
      <c r="E844" s="5"/>
    </row>
    <row r="845" ht="15.75" customHeight="1">
      <c r="E845" s="5"/>
    </row>
    <row r="846" ht="15.75" customHeight="1">
      <c r="E846" s="5"/>
    </row>
    <row r="847" ht="15.75" customHeight="1">
      <c r="E847" s="5"/>
    </row>
    <row r="848" ht="15.75" customHeight="1">
      <c r="E848" s="5"/>
    </row>
    <row r="849" ht="15.75" customHeight="1">
      <c r="E849" s="5"/>
    </row>
    <row r="850" ht="15.75" customHeight="1">
      <c r="E850" s="5"/>
    </row>
    <row r="851" ht="15.75" customHeight="1">
      <c r="E851" s="5"/>
    </row>
    <row r="852" ht="15.75" customHeight="1">
      <c r="E852" s="5"/>
    </row>
    <row r="853" ht="15.75" customHeight="1">
      <c r="E853" s="5"/>
    </row>
    <row r="854" ht="15.75" customHeight="1">
      <c r="E854" s="5"/>
    </row>
    <row r="855" ht="15.75" customHeight="1">
      <c r="E855" s="5"/>
    </row>
    <row r="856" ht="15.75" customHeight="1">
      <c r="E856" s="5"/>
    </row>
    <row r="857" ht="15.75" customHeight="1">
      <c r="E857" s="5"/>
    </row>
    <row r="858" ht="15.75" customHeight="1">
      <c r="E858" s="5"/>
    </row>
    <row r="859" ht="15.75" customHeight="1">
      <c r="E859" s="5"/>
    </row>
    <row r="860" ht="15.75" customHeight="1">
      <c r="E860" s="5"/>
    </row>
    <row r="861" ht="15.75" customHeight="1">
      <c r="E861" s="5"/>
    </row>
    <row r="862" ht="15.75" customHeight="1">
      <c r="E862" s="5"/>
    </row>
    <row r="863" ht="15.75" customHeight="1">
      <c r="E863" s="5"/>
    </row>
    <row r="864" ht="15.75" customHeight="1">
      <c r="E864" s="5"/>
    </row>
    <row r="865" ht="15.75" customHeight="1">
      <c r="E865" s="5"/>
    </row>
    <row r="866" ht="15.75" customHeight="1">
      <c r="E866" s="5"/>
    </row>
    <row r="867" ht="15.75" customHeight="1">
      <c r="E867" s="5"/>
    </row>
    <row r="868" ht="15.75" customHeight="1">
      <c r="E868" s="5"/>
    </row>
    <row r="869" ht="15.75" customHeight="1">
      <c r="E869" s="5"/>
    </row>
    <row r="870" ht="15.75" customHeight="1">
      <c r="E870" s="5"/>
    </row>
    <row r="871" ht="15.75" customHeight="1">
      <c r="E871" s="5"/>
    </row>
    <row r="872" ht="15.75" customHeight="1">
      <c r="E872" s="5"/>
    </row>
    <row r="873" ht="15.75" customHeight="1">
      <c r="E873" s="5"/>
    </row>
    <row r="874" ht="15.75" customHeight="1">
      <c r="E874" s="5"/>
    </row>
    <row r="875" ht="15.75" customHeight="1">
      <c r="E875" s="5"/>
    </row>
    <row r="876" ht="15.75" customHeight="1">
      <c r="E876" s="5"/>
    </row>
    <row r="877" ht="15.75" customHeight="1">
      <c r="E877" s="5"/>
    </row>
    <row r="878" ht="15.75" customHeight="1">
      <c r="E878" s="5"/>
    </row>
    <row r="879" ht="15.75" customHeight="1">
      <c r="E879" s="5"/>
    </row>
    <row r="880" ht="15.75" customHeight="1">
      <c r="E880" s="5"/>
    </row>
    <row r="881" ht="15.75" customHeight="1">
      <c r="E881" s="5"/>
    </row>
    <row r="882" ht="15.75" customHeight="1">
      <c r="E882" s="5"/>
    </row>
    <row r="883" ht="15.75" customHeight="1">
      <c r="E883" s="5"/>
    </row>
    <row r="884" ht="15.75" customHeight="1">
      <c r="E884" s="5"/>
    </row>
    <row r="885" ht="15.75" customHeight="1">
      <c r="E885" s="5"/>
    </row>
    <row r="886" ht="15.75" customHeight="1">
      <c r="E886" s="5"/>
    </row>
    <row r="887" ht="15.75" customHeight="1">
      <c r="E887" s="5"/>
    </row>
    <row r="888" ht="15.75" customHeight="1">
      <c r="E888" s="5"/>
    </row>
    <row r="889" ht="15.75" customHeight="1">
      <c r="E889" s="5"/>
    </row>
    <row r="890" ht="15.75" customHeight="1">
      <c r="E890" s="5"/>
    </row>
    <row r="891" ht="15.75" customHeight="1">
      <c r="E891" s="5"/>
    </row>
    <row r="892" ht="15.75" customHeight="1">
      <c r="E892" s="5"/>
    </row>
    <row r="893" ht="15.75" customHeight="1">
      <c r="E893" s="5"/>
    </row>
    <row r="894" ht="15.75" customHeight="1">
      <c r="E894" s="5"/>
    </row>
    <row r="895" ht="15.75" customHeight="1">
      <c r="E895" s="5"/>
    </row>
    <row r="896" ht="15.75" customHeight="1">
      <c r="E896" s="5"/>
    </row>
    <row r="897" ht="15.75" customHeight="1">
      <c r="E897" s="5"/>
    </row>
    <row r="898" ht="15.75" customHeight="1">
      <c r="E898" s="5"/>
    </row>
    <row r="899" ht="15.75" customHeight="1">
      <c r="E899" s="5"/>
    </row>
    <row r="900" ht="15.75" customHeight="1">
      <c r="E900" s="5"/>
    </row>
    <row r="901" ht="15.75" customHeight="1">
      <c r="E901" s="5"/>
    </row>
    <row r="902" ht="15.75" customHeight="1">
      <c r="E902" s="5"/>
    </row>
    <row r="903" ht="15.75" customHeight="1">
      <c r="E903" s="5"/>
    </row>
    <row r="904" ht="15.75" customHeight="1">
      <c r="E904" s="5"/>
    </row>
    <row r="905" ht="15.75" customHeight="1">
      <c r="E905" s="5"/>
    </row>
    <row r="906" ht="15.75" customHeight="1">
      <c r="E906" s="5"/>
    </row>
    <row r="907" ht="15.75" customHeight="1">
      <c r="E907" s="5"/>
    </row>
    <row r="908" ht="15.75" customHeight="1">
      <c r="E908" s="5"/>
    </row>
    <row r="909" ht="15.75" customHeight="1">
      <c r="E909" s="5"/>
    </row>
    <row r="910" ht="15.75" customHeight="1">
      <c r="E910" s="5"/>
    </row>
    <row r="911" ht="15.75" customHeight="1">
      <c r="E911" s="5"/>
    </row>
    <row r="912" ht="15.75" customHeight="1">
      <c r="E912" s="5"/>
    </row>
    <row r="913" ht="15.75" customHeight="1">
      <c r="E913" s="5"/>
    </row>
    <row r="914" ht="15.75" customHeight="1">
      <c r="E914" s="5"/>
    </row>
    <row r="915" ht="15.75" customHeight="1">
      <c r="E915" s="5"/>
    </row>
    <row r="916" ht="15.75" customHeight="1">
      <c r="E916" s="5"/>
    </row>
    <row r="917" ht="15.75" customHeight="1">
      <c r="E917" s="5"/>
    </row>
    <row r="918" ht="15.75" customHeight="1">
      <c r="E918" s="5"/>
    </row>
    <row r="919" ht="15.75" customHeight="1">
      <c r="E919" s="5"/>
    </row>
    <row r="920" ht="15.75" customHeight="1">
      <c r="E920" s="5"/>
    </row>
    <row r="921" ht="15.75" customHeight="1">
      <c r="E921" s="5"/>
    </row>
    <row r="922" ht="15.75" customHeight="1">
      <c r="E922" s="5"/>
    </row>
    <row r="923" ht="15.75" customHeight="1">
      <c r="E923" s="5"/>
    </row>
    <row r="924" ht="15.75" customHeight="1">
      <c r="E924" s="5"/>
    </row>
    <row r="925" ht="15.75" customHeight="1">
      <c r="E925" s="5"/>
    </row>
    <row r="926" ht="15.75" customHeight="1">
      <c r="E926" s="5"/>
    </row>
    <row r="927" ht="15.75" customHeight="1">
      <c r="E927" s="5"/>
    </row>
    <row r="928" ht="15.75" customHeight="1">
      <c r="E928" s="5"/>
    </row>
    <row r="929" ht="15.75" customHeight="1">
      <c r="E929" s="5"/>
    </row>
    <row r="930" ht="15.75" customHeight="1">
      <c r="E930" s="5"/>
    </row>
    <row r="931" ht="15.75" customHeight="1">
      <c r="E931" s="5"/>
    </row>
    <row r="932" ht="15.75" customHeight="1">
      <c r="E932" s="5"/>
    </row>
    <row r="933" ht="15.75" customHeight="1">
      <c r="E933" s="5"/>
    </row>
    <row r="934" ht="15.75" customHeight="1">
      <c r="E934" s="5"/>
    </row>
    <row r="935" ht="15.75" customHeight="1">
      <c r="E935" s="5"/>
    </row>
    <row r="936" ht="15.75" customHeight="1">
      <c r="E936" s="5"/>
    </row>
    <row r="937" ht="15.75" customHeight="1">
      <c r="E937" s="5"/>
    </row>
    <row r="938" ht="15.75" customHeight="1">
      <c r="E938" s="5"/>
    </row>
    <row r="939" ht="15.75" customHeight="1">
      <c r="E939" s="5"/>
    </row>
    <row r="940" ht="15.75" customHeight="1">
      <c r="E940" s="5"/>
    </row>
    <row r="941" ht="15.75" customHeight="1">
      <c r="E941" s="5"/>
    </row>
    <row r="942" ht="15.75" customHeight="1">
      <c r="E942" s="5"/>
    </row>
    <row r="943" ht="15.75" customHeight="1">
      <c r="E943" s="5"/>
    </row>
    <row r="944" ht="15.75" customHeight="1">
      <c r="E944" s="5"/>
    </row>
    <row r="945" ht="15.75" customHeight="1">
      <c r="E945" s="5"/>
    </row>
    <row r="946" ht="15.75" customHeight="1">
      <c r="E946" s="5"/>
    </row>
    <row r="947" ht="15.75" customHeight="1">
      <c r="E947" s="5"/>
    </row>
    <row r="948" ht="15.75" customHeight="1">
      <c r="E948" s="5"/>
    </row>
    <row r="949" ht="15.75" customHeight="1">
      <c r="E949" s="5"/>
    </row>
    <row r="950" ht="15.75" customHeight="1">
      <c r="E950" s="5"/>
    </row>
    <row r="951" ht="15.75" customHeight="1">
      <c r="E951" s="5"/>
    </row>
    <row r="952" ht="15.75" customHeight="1">
      <c r="E952" s="5"/>
    </row>
    <row r="953" ht="15.75" customHeight="1">
      <c r="E953" s="5"/>
    </row>
    <row r="954" ht="15.75" customHeight="1">
      <c r="E954" s="5"/>
    </row>
    <row r="955" ht="15.75" customHeight="1">
      <c r="E955" s="5"/>
    </row>
    <row r="956" ht="15.75" customHeight="1">
      <c r="E956" s="5"/>
    </row>
    <row r="957" ht="15.75" customHeight="1">
      <c r="E957" s="5"/>
    </row>
    <row r="958" ht="15.75" customHeight="1">
      <c r="E958" s="5"/>
    </row>
    <row r="959" ht="15.75" customHeight="1">
      <c r="E959" s="5"/>
    </row>
    <row r="960" ht="15.75" customHeight="1">
      <c r="E960" s="5"/>
    </row>
    <row r="961" ht="15.75" customHeight="1">
      <c r="E961" s="5"/>
    </row>
    <row r="962" ht="15.75" customHeight="1">
      <c r="E962" s="5"/>
    </row>
    <row r="963" ht="15.75" customHeight="1">
      <c r="E963" s="5"/>
    </row>
    <row r="964" ht="15.75" customHeight="1">
      <c r="E964" s="5"/>
    </row>
    <row r="965" ht="15.75" customHeight="1">
      <c r="E965" s="5"/>
    </row>
    <row r="966" ht="15.75" customHeight="1">
      <c r="E966" s="5"/>
    </row>
    <row r="967" ht="15.75" customHeight="1">
      <c r="E967" s="5"/>
    </row>
    <row r="968" ht="15.75" customHeight="1">
      <c r="E968" s="5"/>
    </row>
    <row r="969" ht="15.75" customHeight="1">
      <c r="E969" s="5"/>
    </row>
    <row r="970" ht="15.75" customHeight="1">
      <c r="E970" s="5"/>
    </row>
    <row r="971" ht="15.75" customHeight="1">
      <c r="E971" s="5"/>
    </row>
    <row r="972" ht="15.75" customHeight="1">
      <c r="E972" s="5"/>
    </row>
    <row r="973" ht="15.75" customHeight="1">
      <c r="E973" s="5"/>
    </row>
    <row r="974" ht="15.75" customHeight="1">
      <c r="E974" s="5"/>
    </row>
    <row r="975" ht="15.75" customHeight="1">
      <c r="E975" s="5"/>
    </row>
    <row r="976" ht="15.75" customHeight="1">
      <c r="E976" s="5"/>
    </row>
    <row r="977" ht="15.75" customHeight="1">
      <c r="E977" s="5"/>
    </row>
    <row r="978" ht="15.75" customHeight="1">
      <c r="E978" s="5"/>
    </row>
    <row r="979" ht="15.75" customHeight="1">
      <c r="E979" s="5"/>
    </row>
    <row r="980" ht="15.75" customHeight="1">
      <c r="E980" s="5"/>
    </row>
    <row r="981" ht="15.75" customHeight="1">
      <c r="E981" s="5"/>
    </row>
    <row r="982" ht="15.75" customHeight="1">
      <c r="E982" s="5"/>
    </row>
    <row r="983" ht="15.75" customHeight="1">
      <c r="E983" s="5"/>
    </row>
    <row r="984" ht="15.75" customHeight="1">
      <c r="E984" s="5"/>
    </row>
    <row r="985" ht="15.75" customHeight="1">
      <c r="E985" s="5"/>
    </row>
  </sheetData>
  <printOptions/>
  <pageMargins bottom="0.75" footer="0.0" header="0.0" left="0.7" right="0.7" top="0.75"/>
  <pageSetup orientation="landscape"/>
  <drawing r:id="rId1"/>
</worksheet>
</file>