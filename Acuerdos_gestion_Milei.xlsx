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4"/>
  <sheetViews>
    <sheetView workbookViewId="0">
      <selection activeCell="A1" sqref="A1"/>
    </sheetView>
  </sheetViews>
  <sheetFormatPr baseColWidth="8" defaultRowHeight="15"/>
  <sheetData>
    <row r="1">
      <c r="A1" t="inlineStr">
        <is>
          <t>ORIGEN</t>
        </is>
      </c>
      <c r="B1" t="inlineStr">
        <is>
          <t>NRO.</t>
        </is>
      </c>
      <c r="C1" t="inlineStr">
        <is>
          <t>AÑO</t>
        </is>
      </c>
      <c r="D1" t="inlineStr">
        <is>
          <t>TIPO</t>
        </is>
      </c>
      <c r="E1" t="inlineStr">
        <is>
          <t>CARÁTULA</t>
        </is>
      </c>
      <c r="F1" t="inlineStr">
        <is>
          <t>Judicial</t>
        </is>
      </c>
      <c r="G1" t="inlineStr">
        <is>
          <t>NRO. DAE / DADO CUENTA</t>
        </is>
      </c>
      <c r="H1" t="inlineStr">
        <is>
          <t>CADUCA</t>
        </is>
      </c>
      <c r="I1" t="inlineStr">
        <is>
          <t>ARCHIVO</t>
        </is>
      </c>
      <c r="J1" t="inlineStr">
        <is>
          <t>MESA DE ENTRADAS</t>
        </is>
      </c>
      <c r="K1" t="inlineStr">
        <is>
          <t>PRONTO DESPACHO</t>
        </is>
      </c>
      <c r="L1" t="inlineStr">
        <is>
          <t>FECHA INGRESO DICTAMEN</t>
        </is>
      </c>
      <c r="M1" t="inlineStr">
        <is>
          <t>DIR. COMISIONES</t>
        </is>
      </c>
      <c r="N1" t="inlineStr">
        <is>
          <t>GIRO1</t>
        </is>
      </c>
      <c r="O1" t="inlineStr">
        <is>
          <t>COMISION1</t>
        </is>
      </c>
      <c r="P1" t="inlineStr">
        <is>
          <t>FECHA_INGRESO1</t>
        </is>
      </c>
      <c r="Q1" t="inlineStr">
        <is>
          <t>FECHA_EGRESO1</t>
        </is>
      </c>
      <c r="R1" t="inlineStr">
        <is>
          <t>ORDEN DEL DÍA</t>
        </is>
      </c>
      <c r="S1" t="inlineStr">
        <is>
          <t>SANCIONES/SITUACIÓN EXP</t>
        </is>
      </c>
      <c r="T1" t="inlineStr">
        <is>
          <t>LEY Y FECHA</t>
        </is>
      </c>
      <c r="U1" t="inlineStr">
        <is>
          <t>COMUNICACIÓN</t>
        </is>
      </c>
      <c r="V1" t="inlineStr">
        <is>
          <t>FECHA_ARCHIVO</t>
        </is>
      </c>
    </row>
    <row r="2">
      <c r="A2" t="inlineStr">
        <is>
          <t>PE</t>
        </is>
      </c>
      <c r="B2">
        <f>HYPERLINK("https://www.senado.gob.ar/parlamentario/comisiones/verExp/293.26/PE/AC","293")</f>
        <v/>
      </c>
      <c r="C2">
        <f>HYPERLINK("https://www.senado.gob.ar/parlamentario/comisiones/verExp/293.26/PE/AC","2026")</f>
        <v/>
      </c>
      <c r="D2" t="inlineStr">
        <is>
          <t>AC</t>
        </is>
      </c>
      <c r="E2" t="inlineStr">
        <is>
          <t xml:space="preserve">MENSAJE N° 267/26 QUE SOLICITA ACUERDO PARA DESIGNAR CONJUECES DE LOS JUZGADOS NACIONALES DE PRIMERA INSTANCIA DEL TRABAJO DE LA JURISDICCION DE LA CAMARA NACIONAL DE APELACIONES DEL TRABAJO DE LA CAPITAL FEDERAL,
</t>
        </is>
      </c>
      <c r="G2" t="inlineStr">
        <is>
          <t xml:space="preserve"> 30 17/09/2026 -</t>
        </is>
      </c>
      <c r="J2" t="inlineStr">
        <is>
          <t xml:space="preserve"> 28/08/2026 -</t>
        </is>
      </c>
      <c r="L2" t="inlineStr">
        <is>
          <t xml:space="preserve">  -</t>
        </is>
      </c>
      <c r="M2" t="inlineStr">
        <is>
          <t xml:space="preserve"> 28/08/2026 -</t>
        </is>
      </c>
      <c r="N2" t="n">
        <v>71</v>
      </c>
      <c r="O2" t="inlineStr">
        <is>
          <t>DE ACUERDOS</t>
        </is>
      </c>
      <c r="P2" t="inlineStr">
        <is>
          <t>28/08/2026</t>
        </is>
      </c>
      <c r="R2">
        <f>HYPERLINK("","")</f>
        <v/>
      </c>
      <c r="S2" t="inlineStr">
        <is>
          <t xml:space="preserve">              </t>
        </is>
      </c>
      <c r="T2" t="inlineStr">
        <is>
          <t xml:space="preserve"> - </t>
        </is>
      </c>
    </row>
    <row r="3">
      <c r="A3" t="inlineStr">
        <is>
          <t>PE</t>
        </is>
      </c>
      <c r="B3">
        <f>HYPERLINK("https://www.senado.gob.ar/parlamentario/comisiones/verExp/292.26/PE/AC","292")</f>
        <v/>
      </c>
      <c r="C3">
        <f>HYPERLINK("https://www.senado.gob.ar/parlamentario/comisiones/verExp/292.26/PE/AC","2026")</f>
        <v/>
      </c>
      <c r="D3" t="inlineStr">
        <is>
          <t>AC</t>
        </is>
      </c>
      <c r="E3" t="inlineStr">
        <is>
          <t>MENSAJE N° 266/26 QUE SOLICITA ACUERDO PARA DESIGNAR DEFENSORA PUBLICA DE VICTIMA CON ASIENTO EN LA PROV. DE LA RIOJA, A LA DRA. MARIA JULIETA IBAÑEZ ARRIETA.</t>
        </is>
      </c>
      <c r="G3" t="inlineStr">
        <is>
          <t xml:space="preserve"> 30 17/09/2026 -</t>
        </is>
      </c>
      <c r="J3" t="inlineStr">
        <is>
          <t xml:space="preserve"> 28/08/2026 -</t>
        </is>
      </c>
      <c r="L3" t="inlineStr">
        <is>
          <t xml:space="preserve">  -</t>
        </is>
      </c>
      <c r="M3" t="inlineStr">
        <is>
          <t xml:space="preserve"> 28/08/2026 -</t>
        </is>
      </c>
      <c r="N3" t="n">
        <v>71</v>
      </c>
      <c r="O3" t="inlineStr">
        <is>
          <t>DE ACUERDOS</t>
        </is>
      </c>
      <c r="P3" t="inlineStr">
        <is>
          <t>28/08/2026</t>
        </is>
      </c>
      <c r="R3">
        <f>HYPERLINK("","")</f>
        <v/>
      </c>
      <c r="S3" t="inlineStr">
        <is>
          <t xml:space="preserve">              </t>
        </is>
      </c>
      <c r="T3" t="inlineStr">
        <is>
          <t xml:space="preserve"> - </t>
        </is>
      </c>
    </row>
    <row r="4">
      <c r="A4" t="inlineStr">
        <is>
          <t>PE</t>
        </is>
      </c>
      <c r="B4">
        <f>HYPERLINK("https://www.senado.gob.ar/parlamentario/comisiones/verExp/291.26/PE/AC","291")</f>
        <v/>
      </c>
      <c r="C4">
        <f>HYPERLINK("https://www.senado.gob.ar/parlamentario/comisiones/verExp/291.26/PE/AC","2026")</f>
        <v/>
      </c>
      <c r="D4" t="inlineStr">
        <is>
          <t>AC</t>
        </is>
      </c>
      <c r="E4" t="inlineStr">
        <is>
          <t xml:space="preserve">MENSAJE N° 265/26 QUE SOLICITA ACUERDO PARA DESIGNAR VOCAL DE LA CAMARA NACIONAL DE APELACIONES EN LO CIVIL Y COMERCIAL FEDERAL DE LA CAPITAL FEDERAL, SALA III, A LA DRA. SOFIA INES HERNANDEZ SAINT JEAN.
</t>
        </is>
      </c>
      <c r="G4" t="inlineStr">
        <is>
          <t xml:space="preserve"> 30 17/09/2026 -</t>
        </is>
      </c>
      <c r="J4" t="inlineStr">
        <is>
          <t xml:space="preserve"> 28/08/2026 -</t>
        </is>
      </c>
      <c r="L4" t="inlineStr">
        <is>
          <t xml:space="preserve">  -</t>
        </is>
      </c>
      <c r="M4" t="inlineStr">
        <is>
          <t xml:space="preserve"> 28/08/2026 -</t>
        </is>
      </c>
      <c r="N4" t="n">
        <v>71</v>
      </c>
      <c r="O4" t="inlineStr">
        <is>
          <t>DE ACUERDOS</t>
        </is>
      </c>
      <c r="P4" t="inlineStr">
        <is>
          <t>28/08/2026</t>
        </is>
      </c>
      <c r="R4">
        <f>HYPERLINK("","")</f>
        <v/>
      </c>
      <c r="S4" t="inlineStr">
        <is>
          <t xml:space="preserve">              </t>
        </is>
      </c>
      <c r="T4" t="inlineStr">
        <is>
          <t xml:space="preserve"> - </t>
        </is>
      </c>
    </row>
    <row r="5">
      <c r="A5" t="inlineStr">
        <is>
          <t>PE</t>
        </is>
      </c>
      <c r="B5">
        <f>HYPERLINK("https://www.senado.gob.ar/parlamentario/comisiones/verExp/290.26/PE/AC","290")</f>
        <v/>
      </c>
      <c r="C5">
        <f>HYPERLINK("https://www.senado.gob.ar/parlamentario/comisiones/verExp/290.26/PE/AC","2026")</f>
        <v/>
      </c>
      <c r="D5" t="inlineStr">
        <is>
          <t>AC</t>
        </is>
      </c>
      <c r="E5" t="inlineStr">
        <is>
          <t xml:space="preserve">MENSAJE N° 264/26 QUE SOLICITA ACUERDO PARA DESIGNAR JUEZ DEL TRIBUNAL FEDERAL DE JUICIO DE NEUQUEN, PROV. DEL NEUQUEN, AL DR. JUAN MANUEL KEES.
</t>
        </is>
      </c>
      <c r="G5" t="inlineStr">
        <is>
          <t xml:space="preserve"> 30 17/09/2026 -</t>
        </is>
      </c>
      <c r="J5" t="inlineStr">
        <is>
          <t xml:space="preserve"> 28/08/2026 -</t>
        </is>
      </c>
      <c r="L5" t="inlineStr">
        <is>
          <t xml:space="preserve">  -</t>
        </is>
      </c>
      <c r="M5" t="inlineStr">
        <is>
          <t xml:space="preserve"> 28/08/2026 -</t>
        </is>
      </c>
      <c r="N5" t="n">
        <v>71</v>
      </c>
      <c r="O5" t="inlineStr">
        <is>
          <t>DE ACUERDOS</t>
        </is>
      </c>
      <c r="P5" t="inlineStr">
        <is>
          <t>28/08/2026</t>
        </is>
      </c>
      <c r="R5">
        <f>HYPERLINK("","")</f>
        <v/>
      </c>
      <c r="S5" t="inlineStr">
        <is>
          <t xml:space="preserve">              </t>
        </is>
      </c>
      <c r="T5" t="inlineStr">
        <is>
          <t xml:space="preserve"> - </t>
        </is>
      </c>
    </row>
    <row r="6">
      <c r="A6" t="inlineStr">
        <is>
          <t>PE</t>
        </is>
      </c>
      <c r="B6">
        <f>HYPERLINK("https://www.senado.gob.ar/parlamentario/comisiones/verExp/289.26/PE/AC","289")</f>
        <v/>
      </c>
      <c r="C6">
        <f>HYPERLINK("https://www.senado.gob.ar/parlamentario/comisiones/verExp/289.26/PE/AC","2026")</f>
        <v/>
      </c>
      <c r="D6" t="inlineStr">
        <is>
          <t>AC</t>
        </is>
      </c>
      <c r="E6" t="inlineStr">
        <is>
          <t xml:space="preserve">MENSAJE N° 263/26 QUE SOLICITA ACUERDO PARA DESIGNAR FISCAL GENERAL DE LA UNIDAD FISCAL SAN LUIS, PROV. DE SAN LUIS, AL DR. FEDERICO MIGUEL BAQUIONI.
</t>
        </is>
      </c>
      <c r="G6" t="inlineStr">
        <is>
          <t xml:space="preserve"> 30 17/09/2026 -</t>
        </is>
      </c>
      <c r="J6" t="inlineStr">
        <is>
          <t xml:space="preserve"> 28/08/2026 -</t>
        </is>
      </c>
      <c r="L6" t="inlineStr">
        <is>
          <t xml:space="preserve">  -</t>
        </is>
      </c>
      <c r="M6" t="inlineStr">
        <is>
          <t xml:space="preserve"> 28/08/2026 -</t>
        </is>
      </c>
      <c r="N6" t="n">
        <v>71</v>
      </c>
      <c r="O6" t="inlineStr">
        <is>
          <t>DE ACUERDOS</t>
        </is>
      </c>
      <c r="P6" t="inlineStr">
        <is>
          <t>28/08/2026</t>
        </is>
      </c>
      <c r="R6">
        <f>HYPERLINK("","")</f>
        <v/>
      </c>
      <c r="S6" t="inlineStr">
        <is>
          <t xml:space="preserve">              </t>
        </is>
      </c>
      <c r="T6" t="inlineStr">
        <is>
          <t xml:space="preserve"> - </t>
        </is>
      </c>
    </row>
    <row r="7">
      <c r="A7" t="inlineStr">
        <is>
          <t>PE</t>
        </is>
      </c>
      <c r="B7">
        <f>HYPERLINK("https://www.senado.gob.ar/parlamentario/comisiones/verExp/288.26/PE/AC","288")</f>
        <v/>
      </c>
      <c r="C7">
        <f>HYPERLINK("https://www.senado.gob.ar/parlamentario/comisiones/verExp/288.26/PE/AC","2026")</f>
        <v/>
      </c>
      <c r="D7" t="inlineStr">
        <is>
          <t>AC</t>
        </is>
      </c>
      <c r="E7" t="inlineStr">
        <is>
          <t xml:space="preserve">MENSAJE N° 262/26 QUE SOLICITA ACUERDO PARA DESIGNAR JUEZ PENAL FEDERAL DEL JUZGADO FEDERAL DE GARANTIAS CON ASIENTO EN LA CDAD. DE VENADO TUERTO, PROV. DE SANTA FE, AL DR. MARIANO JAVIER CAMBLONG.
</t>
        </is>
      </c>
      <c r="G7" t="inlineStr">
        <is>
          <t xml:space="preserve"> 30 17/09/2026 -</t>
        </is>
      </c>
      <c r="J7" t="inlineStr">
        <is>
          <t xml:space="preserve"> 28/08/2026 -</t>
        </is>
      </c>
      <c r="L7" t="inlineStr">
        <is>
          <t xml:space="preserve">  -</t>
        </is>
      </c>
      <c r="M7" t="inlineStr">
        <is>
          <t xml:space="preserve"> 28/08/2026 -</t>
        </is>
      </c>
      <c r="N7" t="n">
        <v>71</v>
      </c>
      <c r="O7" t="inlineStr">
        <is>
          <t>DE ACUERDOS</t>
        </is>
      </c>
      <c r="P7" t="inlineStr">
        <is>
          <t>28/08/2026</t>
        </is>
      </c>
      <c r="R7">
        <f>HYPERLINK("","")</f>
        <v/>
      </c>
      <c r="S7" t="inlineStr">
        <is>
          <t xml:space="preserve">              </t>
        </is>
      </c>
      <c r="T7" t="inlineStr">
        <is>
          <t xml:space="preserve"> - </t>
        </is>
      </c>
    </row>
    <row r="8">
      <c r="A8" t="inlineStr">
        <is>
          <t>PE</t>
        </is>
      </c>
      <c r="B8">
        <f>HYPERLINK("https://www.senado.gob.ar/parlamentario/comisiones/verExp/287.26/PE/AC","287")</f>
        <v/>
      </c>
      <c r="C8">
        <f>HYPERLINK("https://www.senado.gob.ar/parlamentario/comisiones/verExp/287.26/PE/AC","2026")</f>
        <v/>
      </c>
      <c r="D8" t="inlineStr">
        <is>
          <t>AC</t>
        </is>
      </c>
      <c r="E8" t="inlineStr">
        <is>
          <t xml:space="preserve">MENSAJE N° 261/26 QUE SOLICITA ACUERDO PARA DESIGNAR JUEZ DEL TRIBUNAL FEDERAL DE JUICIO DE RESISTENCIA, PROV. DEL CHACO, AL DR. JUAN MATEO DIJOU.
</t>
        </is>
      </c>
      <c r="G8" t="inlineStr">
        <is>
          <t xml:space="preserve"> 30 17/09/2026 -</t>
        </is>
      </c>
      <c r="J8" t="inlineStr">
        <is>
          <t xml:space="preserve"> 28/08/2026 -</t>
        </is>
      </c>
      <c r="L8" t="inlineStr">
        <is>
          <t xml:space="preserve">  -</t>
        </is>
      </c>
      <c r="M8" t="inlineStr">
        <is>
          <t xml:space="preserve"> 28/08/2026 -</t>
        </is>
      </c>
      <c r="N8" t="n">
        <v>71</v>
      </c>
      <c r="O8" t="inlineStr">
        <is>
          <t>DE ACUERDOS</t>
        </is>
      </c>
      <c r="P8" t="inlineStr">
        <is>
          <t>28/08/2026</t>
        </is>
      </c>
      <c r="R8">
        <f>HYPERLINK("","")</f>
        <v/>
      </c>
      <c r="S8" t="inlineStr">
        <is>
          <t xml:space="preserve">              </t>
        </is>
      </c>
      <c r="T8" t="inlineStr">
        <is>
          <t xml:space="preserve"> - </t>
        </is>
      </c>
    </row>
    <row r="9">
      <c r="A9" t="inlineStr">
        <is>
          <t>PE</t>
        </is>
      </c>
      <c r="B9">
        <f>HYPERLINK("https://www.senado.gob.ar/parlamentario/comisiones/verExp/286.26/PE/AC","286")</f>
        <v/>
      </c>
      <c r="C9">
        <f>HYPERLINK("https://www.senado.gob.ar/parlamentario/comisiones/verExp/286.26/PE/AC","2026")</f>
        <v/>
      </c>
      <c r="D9" t="inlineStr">
        <is>
          <t>AC</t>
        </is>
      </c>
      <c r="E9" t="inlineStr">
        <is>
          <t xml:space="preserve">MENSAJE N° 260/26 QUE SOLICITA ACUERDO PARA DESIGNAR VOCAL DE LA CAMARA NACIONAL DE APELACIONES DEL TRABAJO DE LA CAPITAL FEDERAL, SALA IX, AL DR. MATIAS SEBASTIAN MORENO ESPEJA.
</t>
        </is>
      </c>
      <c r="G9" t="inlineStr">
        <is>
          <t xml:space="preserve"> 30 17/09/2026 -</t>
        </is>
      </c>
      <c r="J9" t="inlineStr">
        <is>
          <t xml:space="preserve"> 28/08/2026 -</t>
        </is>
      </c>
      <c r="L9" t="inlineStr">
        <is>
          <t xml:space="preserve">  -</t>
        </is>
      </c>
      <c r="M9" t="inlineStr">
        <is>
          <t xml:space="preserve"> 28/08/2026 -</t>
        </is>
      </c>
      <c r="N9" t="n">
        <v>71</v>
      </c>
      <c r="O9" t="inlineStr">
        <is>
          <t>DE ACUERDOS</t>
        </is>
      </c>
      <c r="P9" t="inlineStr">
        <is>
          <t>28/08/2026</t>
        </is>
      </c>
      <c r="R9">
        <f>HYPERLINK("","")</f>
        <v/>
      </c>
      <c r="S9" t="inlineStr">
        <is>
          <t xml:space="preserve">              </t>
        </is>
      </c>
      <c r="T9" t="inlineStr">
        <is>
          <t xml:space="preserve"> - </t>
        </is>
      </c>
    </row>
    <row r="10">
      <c r="A10" t="inlineStr">
        <is>
          <t>PE</t>
        </is>
      </c>
      <c r="B10">
        <f>HYPERLINK("https://www.senado.gob.ar/parlamentario/comisiones/verExp/285.26/PE/AC","285")</f>
        <v/>
      </c>
      <c r="C10">
        <f>HYPERLINK("https://www.senado.gob.ar/parlamentario/comisiones/verExp/285.26/PE/AC","2026")</f>
        <v/>
      </c>
      <c r="D10" t="inlineStr">
        <is>
          <t>AC</t>
        </is>
      </c>
      <c r="E10" t="inlineStr">
        <is>
          <t>MENSAJE N° 259/26 QUE SOLICITA ACUERDO PARA DESIGNAR DEFENSORA PUBLICA DE VICTIMA CON ASIENTO EN LA PROVINCIA DE CORDOBA, A LA DRA. BERENICE OLMEDO.</t>
        </is>
      </c>
      <c r="G10" t="inlineStr">
        <is>
          <t xml:space="preserve"> 30 17/09/2026 -</t>
        </is>
      </c>
      <c r="J10" t="inlineStr">
        <is>
          <t xml:space="preserve"> 28/08/2026 -</t>
        </is>
      </c>
      <c r="L10" t="inlineStr">
        <is>
          <t xml:space="preserve">  -</t>
        </is>
      </c>
      <c r="M10" t="inlineStr">
        <is>
          <t xml:space="preserve"> 28/08/2026 -</t>
        </is>
      </c>
      <c r="N10" t="n">
        <v>71</v>
      </c>
      <c r="O10" t="inlineStr">
        <is>
          <t>DE ACUERDOS</t>
        </is>
      </c>
      <c r="P10" t="inlineStr">
        <is>
          <t>28/08/2026</t>
        </is>
      </c>
      <c r="R10">
        <f>HYPERLINK("","")</f>
        <v/>
      </c>
      <c r="S10" t="inlineStr">
        <is>
          <t xml:space="preserve">              </t>
        </is>
      </c>
      <c r="T10" t="inlineStr">
        <is>
          <t xml:space="preserve"> - </t>
        </is>
      </c>
    </row>
    <row r="11">
      <c r="A11" t="inlineStr">
        <is>
          <t>PE</t>
        </is>
      </c>
      <c r="B11">
        <f>HYPERLINK("https://www.senado.gob.ar/parlamentario/comisiones/verExp/284.26/PE/AC","284")</f>
        <v/>
      </c>
      <c r="C11">
        <f>HYPERLINK("https://www.senado.gob.ar/parlamentario/comisiones/verExp/284.26/PE/AC","2026")</f>
        <v/>
      </c>
      <c r="D11" t="inlineStr">
        <is>
          <t>AC</t>
        </is>
      </c>
      <c r="E11" t="inlineStr">
        <is>
          <t xml:space="preserve">MENSAJE N° 258/26 QUE SOLICITA ACUERDO PARA DESIGNAR JUEZA PENAL FEDERAL DEL JUZGADO FEDERAL DE GARANTIAS CON ASIENTO EN LA CDAD. DE SANTA FE, PROVINCIA DE SANTA FE, A LA DRA. VANESA NATALIA DRUETTA.
</t>
        </is>
      </c>
      <c r="G11" t="inlineStr">
        <is>
          <t xml:space="preserve"> 30 17/09/2026 -</t>
        </is>
      </c>
      <c r="J11" t="inlineStr">
        <is>
          <t xml:space="preserve"> 28/08/2026 -</t>
        </is>
      </c>
      <c r="L11" t="inlineStr">
        <is>
          <t xml:space="preserve">  -</t>
        </is>
      </c>
      <c r="M11" t="inlineStr">
        <is>
          <t xml:space="preserve"> 28/08/2026 -</t>
        </is>
      </c>
      <c r="N11" t="n">
        <v>71</v>
      </c>
      <c r="O11" t="inlineStr">
        <is>
          <t>DE ACUERDOS</t>
        </is>
      </c>
      <c r="P11" t="inlineStr">
        <is>
          <t>28/08/2026</t>
        </is>
      </c>
      <c r="R11">
        <f>HYPERLINK("","")</f>
        <v/>
      </c>
      <c r="S11" t="inlineStr">
        <is>
          <t xml:space="preserve">              </t>
        </is>
      </c>
      <c r="T11" t="inlineStr">
        <is>
          <t xml:space="preserve"> - </t>
        </is>
      </c>
    </row>
    <row r="12">
      <c r="A12" t="inlineStr">
        <is>
          <t>PE</t>
        </is>
      </c>
      <c r="B12">
        <f>HYPERLINK("https://www.senado.gob.ar/parlamentario/comisiones/verExp/283.26/PE/AC","283")</f>
        <v/>
      </c>
      <c r="C12">
        <f>HYPERLINK("https://www.senado.gob.ar/parlamentario/comisiones/verExp/283.26/PE/AC","2026")</f>
        <v/>
      </c>
      <c r="D12" t="inlineStr">
        <is>
          <t>AC</t>
        </is>
      </c>
      <c r="E12" t="inlineStr">
        <is>
          <t>MENSAJE N° 257/26 QUE SOLICITA ACUERDO PARA DESIGNAR DEFENSORA PUBLICA DE MENORES E INCAPACES ANTE LOS TRIBUNALES ORALES EN LO CRIMINAL Y CORRECCIONAL DE LA CAPITAL FEDERAL, DEFENSORIA N° 2, A LA DRA. NATALIA EDA BONINO.</t>
        </is>
      </c>
      <c r="G12" t="inlineStr">
        <is>
          <t xml:space="preserve"> 30 17/09/2026 -</t>
        </is>
      </c>
      <c r="J12" t="inlineStr">
        <is>
          <t xml:space="preserve"> 28/08/2026 -</t>
        </is>
      </c>
      <c r="L12" t="inlineStr">
        <is>
          <t xml:space="preserve">  -</t>
        </is>
      </c>
      <c r="M12" t="inlineStr">
        <is>
          <t xml:space="preserve"> 28/08/2026 -</t>
        </is>
      </c>
      <c r="N12" t="n">
        <v>71</v>
      </c>
      <c r="O12" t="inlineStr">
        <is>
          <t>DE ACUERDOS</t>
        </is>
      </c>
      <c r="P12" t="inlineStr">
        <is>
          <t>28/08/2026</t>
        </is>
      </c>
      <c r="R12">
        <f>HYPERLINK("","")</f>
        <v/>
      </c>
      <c r="S12" t="inlineStr">
        <is>
          <t xml:space="preserve">              </t>
        </is>
      </c>
      <c r="T12" t="inlineStr">
        <is>
          <t xml:space="preserve"> - </t>
        </is>
      </c>
    </row>
    <row r="13">
      <c r="A13" t="inlineStr">
        <is>
          <t>PE</t>
        </is>
      </c>
      <c r="B13">
        <f>HYPERLINK("https://www.senado.gob.ar/parlamentario/comisiones/verExp/282.26/PE/AC","282")</f>
        <v/>
      </c>
      <c r="C13">
        <f>HYPERLINK("https://www.senado.gob.ar/parlamentario/comisiones/verExp/282.26/PE/AC","2026")</f>
        <v/>
      </c>
      <c r="D13" t="inlineStr">
        <is>
          <t>AC</t>
        </is>
      </c>
      <c r="E13" t="inlineStr">
        <is>
          <t xml:space="preserve">MENSAJE N° 256/26 QUE SOLICITA ACUERDO PARA DESIGNAR JUEZ DEL JUZGADO FEDERAL DE PRIMERA INSTANCIA N° 1 DE SAN NICOLAS, PROVINCIA DE BUENOS AIRES, AL DR. LUCIANO CRUZ SAVIGNANO.
</t>
        </is>
      </c>
      <c r="G13" t="inlineStr">
        <is>
          <t xml:space="preserve"> 30 17/09/2026 -</t>
        </is>
      </c>
      <c r="J13" t="inlineStr">
        <is>
          <t xml:space="preserve"> 28/08/2026 -</t>
        </is>
      </c>
      <c r="L13" t="inlineStr">
        <is>
          <t xml:space="preserve">  -</t>
        </is>
      </c>
      <c r="M13" t="inlineStr">
        <is>
          <t xml:space="preserve"> 28/08/2026 -</t>
        </is>
      </c>
      <c r="N13" t="n">
        <v>71</v>
      </c>
      <c r="O13" t="inlineStr">
        <is>
          <t>DE ACUERDOS</t>
        </is>
      </c>
      <c r="P13" t="inlineStr">
        <is>
          <t>28/08/2026</t>
        </is>
      </c>
      <c r="R13">
        <f>HYPERLINK("","")</f>
        <v/>
      </c>
      <c r="S13" t="inlineStr">
        <is>
          <t xml:space="preserve">              </t>
        </is>
      </c>
      <c r="T13" t="inlineStr">
        <is>
          <t xml:space="preserve"> - </t>
        </is>
      </c>
    </row>
    <row r="14">
      <c r="A14" t="inlineStr">
        <is>
          <t>PE</t>
        </is>
      </c>
      <c r="B14">
        <f>HYPERLINK("https://www.senado.gob.ar/parlamentario/comisiones/verExp/279.26/PE/AC","279")</f>
        <v/>
      </c>
      <c r="C14">
        <f>HYPERLINK("https://www.senado.gob.ar/parlamentario/comisiones/verExp/279.26/PE/AC","2026")</f>
        <v/>
      </c>
      <c r="D14" t="inlineStr">
        <is>
          <t>AC</t>
        </is>
      </c>
      <c r="E14" t="inlineStr">
        <is>
          <t>MENSAJE N° 255/26 QUE SOLICITA ACUERDO PARA DESIGNAR JUEZ DE CÁMARA DEL TRIBUNAL ORAL EN LO CRIMINAL Y CORRECCIONAL N°10 DE LA CAPITAL FEDERAL, AL DOCTOR SIXTO MIHURA GRADIN.</t>
        </is>
      </c>
      <c r="G14" t="inlineStr">
        <is>
          <t xml:space="preserve"> 30 17/09/2026 -</t>
        </is>
      </c>
      <c r="J14" t="inlineStr">
        <is>
          <t xml:space="preserve"> 27/08/2026 -</t>
        </is>
      </c>
      <c r="L14" t="inlineStr">
        <is>
          <t xml:space="preserve">  -</t>
        </is>
      </c>
      <c r="M14" t="inlineStr">
        <is>
          <t xml:space="preserve"> 27/08/2026 -</t>
        </is>
      </c>
      <c r="N14" t="n">
        <v>71</v>
      </c>
      <c r="O14" t="inlineStr">
        <is>
          <t>DE ACUERDOS</t>
        </is>
      </c>
      <c r="P14" t="inlineStr">
        <is>
          <t>27/08/2026</t>
        </is>
      </c>
      <c r="R14">
        <f>HYPERLINK("","")</f>
        <v/>
      </c>
      <c r="S14" t="inlineStr">
        <is>
          <t xml:space="preserve">              </t>
        </is>
      </c>
      <c r="T14" t="inlineStr">
        <is>
          <t xml:space="preserve"> - </t>
        </is>
      </c>
    </row>
    <row r="15">
      <c r="A15" t="inlineStr">
        <is>
          <t>PE</t>
        </is>
      </c>
      <c r="B15">
        <f>HYPERLINK("https://www.senado.gob.ar/parlamentario/comisiones/verExp/278.26/PE/AC","278")</f>
        <v/>
      </c>
      <c r="C15">
        <f>HYPERLINK("https://www.senado.gob.ar/parlamentario/comisiones/verExp/278.26/PE/AC","2026")</f>
        <v/>
      </c>
      <c r="D15" t="inlineStr">
        <is>
          <t>AC</t>
        </is>
      </c>
      <c r="E15" t="inlineStr">
        <is>
          <t>MENSAJE N° 254/26 QUE SOLICITA ACUERDO PARA DESIGNAR JUEZA DE CÁMARA DEL TRIBUNAL ORAL EN LO CRIMINAL Y CORRECCIONAL N°30 DE LA CAPITAL FEDERAL, A LA DOCTORA ROMINA MONTELEONE.</t>
        </is>
      </c>
      <c r="G15" t="inlineStr">
        <is>
          <t xml:space="preserve"> 30 17/09/2026 -</t>
        </is>
      </c>
      <c r="J15" t="inlineStr">
        <is>
          <t xml:space="preserve"> 27/08/2026 -</t>
        </is>
      </c>
      <c r="L15" t="inlineStr">
        <is>
          <t xml:space="preserve">  -</t>
        </is>
      </c>
      <c r="M15" t="inlineStr">
        <is>
          <t xml:space="preserve"> 27/08/2026 -</t>
        </is>
      </c>
      <c r="N15" t="n">
        <v>71</v>
      </c>
      <c r="O15" t="inlineStr">
        <is>
          <t>DE ACUERDOS</t>
        </is>
      </c>
      <c r="P15" t="inlineStr">
        <is>
          <t>27/08/2026</t>
        </is>
      </c>
      <c r="R15">
        <f>HYPERLINK("","")</f>
        <v/>
      </c>
      <c r="S15" t="inlineStr">
        <is>
          <t xml:space="preserve">              </t>
        </is>
      </c>
      <c r="T15" t="inlineStr">
        <is>
          <t xml:space="preserve"> - </t>
        </is>
      </c>
    </row>
    <row r="16">
      <c r="A16" t="inlineStr">
        <is>
          <t>PE</t>
        </is>
      </c>
      <c r="B16">
        <f>HYPERLINK("https://www.senado.gob.ar/parlamentario/comisiones/verExp/277.26/PE/AC","277")</f>
        <v/>
      </c>
      <c r="C16">
        <f>HYPERLINK("https://www.senado.gob.ar/parlamentario/comisiones/verExp/277.26/PE/AC","2026")</f>
        <v/>
      </c>
      <c r="D16" t="inlineStr">
        <is>
          <t>AC</t>
        </is>
      </c>
      <c r="E16" t="inlineStr">
        <is>
          <t>MENSAJE N° 253/26 QUE SOLICITA ACUERDO PARA DESIGNAR JUEZ DE CÁMARA DEL TRIBUNAL ORAL EN LO CRIMINAL Y CORRECCIONAL N°5 DE LA CAPITAL FEDERAL, AL DOCTOR JUAN CARLOS BERNIAL.</t>
        </is>
      </c>
      <c r="G16" t="inlineStr">
        <is>
          <t xml:space="preserve"> 30 17/09/2026 -</t>
        </is>
      </c>
      <c r="J16" t="inlineStr">
        <is>
          <t xml:space="preserve"> 27/08/2026 -</t>
        </is>
      </c>
      <c r="L16" t="inlineStr">
        <is>
          <t xml:space="preserve">  -</t>
        </is>
      </c>
      <c r="M16" t="inlineStr">
        <is>
          <t xml:space="preserve"> 27/08/2026 -</t>
        </is>
      </c>
      <c r="N16" t="n">
        <v>71</v>
      </c>
      <c r="O16" t="inlineStr">
        <is>
          <t>DE ACUERDOS</t>
        </is>
      </c>
      <c r="P16" t="inlineStr">
        <is>
          <t>27/08/2026</t>
        </is>
      </c>
      <c r="R16">
        <f>HYPERLINK("","")</f>
        <v/>
      </c>
      <c r="S16" t="inlineStr">
        <is>
          <t xml:space="preserve">              </t>
        </is>
      </c>
      <c r="T16" t="inlineStr">
        <is>
          <t xml:space="preserve"> - </t>
        </is>
      </c>
    </row>
    <row r="17">
      <c r="A17" t="inlineStr">
        <is>
          <t>PE</t>
        </is>
      </c>
      <c r="B17">
        <f>HYPERLINK("https://www.senado.gob.ar/parlamentario/comisiones/verExp/269.26/PE/AC","269")</f>
        <v/>
      </c>
      <c r="C17">
        <f>HYPERLINK("https://www.senado.gob.ar/parlamentario/comisiones/verExp/269.26/PE/AC","2026")</f>
        <v/>
      </c>
      <c r="D17" t="inlineStr">
        <is>
          <t>AC</t>
        </is>
      </c>
      <c r="E17" t="inlineStr">
        <is>
          <t>MENSAJE N° 250/26 QUE SOLICITA ACUERDO PARA DESIGNAR JUEZ PENAL FEDERAL DEL JUZGADO FEDERAL DE GARANTIAS CON ASIENTO EN LA CIUDAD DE ROSARIO, PROVINCIA DE SANTA FE, AL DR. FRANCO MARIANO CARBONE.</t>
        </is>
      </c>
      <c r="G17" t="inlineStr">
        <is>
          <t xml:space="preserve"> 27 27/08/2026 -</t>
        </is>
      </c>
      <c r="J17" t="inlineStr">
        <is>
          <t xml:space="preserve"> 05/08/2026 -</t>
        </is>
      </c>
      <c r="L17" t="inlineStr">
        <is>
          <t xml:space="preserve">  -</t>
        </is>
      </c>
      <c r="M17" t="inlineStr">
        <is>
          <t xml:space="preserve"> 05/08/2026 -</t>
        </is>
      </c>
      <c r="N17" t="n">
        <v>71</v>
      </c>
      <c r="O17" t="inlineStr">
        <is>
          <t>DE ACUERDOS</t>
        </is>
      </c>
      <c r="P17" t="inlineStr">
        <is>
          <t>05/08/2026</t>
        </is>
      </c>
      <c r="R17">
        <f>HYPERLINK("","")</f>
        <v/>
      </c>
      <c r="S17" t="inlineStr">
        <is>
          <t xml:space="preserve">              </t>
        </is>
      </c>
      <c r="T17" t="inlineStr">
        <is>
          <t xml:space="preserve"> - </t>
        </is>
      </c>
    </row>
    <row r="18">
      <c r="A18" t="inlineStr">
        <is>
          <t>PE</t>
        </is>
      </c>
      <c r="B18">
        <f>HYPERLINK("https://www.senado.gob.ar/parlamentario/comisiones/verExp/268.26/PE/AC","268")</f>
        <v/>
      </c>
      <c r="C18">
        <f>HYPERLINK("https://www.senado.gob.ar/parlamentario/comisiones/verExp/268.26/PE/AC","2026")</f>
        <v/>
      </c>
      <c r="D18" t="inlineStr">
        <is>
          <t>AC</t>
        </is>
      </c>
      <c r="E18" t="inlineStr">
        <is>
          <t>MENSAJE N° 249/26 QUE SOLICITA ACUERDO PARA DESIGNAR JUEZA DEL JUZGADO FEDERAL DE PRIMERA INSTANCIA DE LA SEGURIDAD SOCIAL N° 8 DE LA CAPITAL FEDERAL, A LA DRA. MARIA DE LOS ANGELES SAPIN.</t>
        </is>
      </c>
      <c r="G18" t="inlineStr">
        <is>
          <t xml:space="preserve"> 27 27/08/2026 -</t>
        </is>
      </c>
      <c r="J18" t="inlineStr">
        <is>
          <t xml:space="preserve"> 05/08/2026 -</t>
        </is>
      </c>
      <c r="L18" t="inlineStr">
        <is>
          <t xml:space="preserve">  -</t>
        </is>
      </c>
      <c r="M18" t="inlineStr">
        <is>
          <t xml:space="preserve"> 05/08/2026 -</t>
        </is>
      </c>
      <c r="N18" t="n">
        <v>71</v>
      </c>
      <c r="O18" t="inlineStr">
        <is>
          <t>DE ACUERDOS</t>
        </is>
      </c>
      <c r="P18" t="inlineStr">
        <is>
          <t>05/08/2026</t>
        </is>
      </c>
      <c r="R18">
        <f>HYPERLINK("","")</f>
        <v/>
      </c>
      <c r="S18" t="inlineStr">
        <is>
          <t xml:space="preserve">              </t>
        </is>
      </c>
      <c r="T18" t="inlineStr">
        <is>
          <t xml:space="preserve"> - </t>
        </is>
      </c>
    </row>
    <row r="19">
      <c r="A19" t="inlineStr">
        <is>
          <t>PE</t>
        </is>
      </c>
      <c r="B19">
        <f>HYPERLINK("https://www.senado.gob.ar/parlamentario/comisiones/verExp/267.26/PE/AC","267")</f>
        <v/>
      </c>
      <c r="C19">
        <f>HYPERLINK("https://www.senado.gob.ar/parlamentario/comisiones/verExp/267.26/PE/AC","2026")</f>
        <v/>
      </c>
      <c r="D19" t="inlineStr">
        <is>
          <t>AC</t>
        </is>
      </c>
      <c r="E19" t="inlineStr">
        <is>
          <t>MENSAJE N° 248/26 QUE SOLICITA ACUERDO PARA DESIGNAR JUEZA DEL JUZGADO FEDERAL DE PRIMERA INSTANCIA DE LA SEGURIDAD SOCIAL N° 6 DE LA CAPITAL FEDERAL, A LA DRA. VALERIA ALICIA BERTOLINI.</t>
        </is>
      </c>
      <c r="G19" t="inlineStr">
        <is>
          <t xml:space="preserve"> 27 27/08/2026 -</t>
        </is>
      </c>
      <c r="J19" t="inlineStr">
        <is>
          <t xml:space="preserve"> 05/08/2026 -</t>
        </is>
      </c>
      <c r="L19" t="inlineStr">
        <is>
          <t xml:space="preserve">  -</t>
        </is>
      </c>
      <c r="M19" t="inlineStr">
        <is>
          <t xml:space="preserve"> 05/08/2026 -</t>
        </is>
      </c>
      <c r="N19" t="n">
        <v>71</v>
      </c>
      <c r="O19" t="inlineStr">
        <is>
          <t>DE ACUERDOS</t>
        </is>
      </c>
      <c r="P19" t="inlineStr">
        <is>
          <t>05/08/2026</t>
        </is>
      </c>
      <c r="R19">
        <f>HYPERLINK("","")</f>
        <v/>
      </c>
      <c r="S19" t="inlineStr">
        <is>
          <t xml:space="preserve">              </t>
        </is>
      </c>
      <c r="T19" t="inlineStr">
        <is>
          <t xml:space="preserve"> - </t>
        </is>
      </c>
    </row>
    <row r="20">
      <c r="A20" t="inlineStr">
        <is>
          <t>PE</t>
        </is>
      </c>
      <c r="B20">
        <f>HYPERLINK("https://www.senado.gob.ar/parlamentario/comisiones/verExp/266.26/PE/AC","266")</f>
        <v/>
      </c>
      <c r="C20">
        <f>HYPERLINK("https://www.senado.gob.ar/parlamentario/comisiones/verExp/266.26/PE/AC","2026")</f>
        <v/>
      </c>
      <c r="D20" t="inlineStr">
        <is>
          <t>AC</t>
        </is>
      </c>
      <c r="E20" t="inlineStr">
        <is>
          <t>MENSAJE N° 247/26 QUE SOLICITA ACUERDO PARA DESIGNAR JUEZ DE CAMARA DEL TRIBUNAL ORAL EN LO CRIMINAL Y CORRECCIONAL N° 30 DE LA CAPITAL FEDERAL, AL DR. ARIEL ALEJANDRO VILAR.</t>
        </is>
      </c>
      <c r="G20" t="inlineStr">
        <is>
          <t xml:space="preserve"> 27 27/08/2026 -</t>
        </is>
      </c>
      <c r="J20" t="inlineStr">
        <is>
          <t xml:space="preserve"> 05/08/2026 -</t>
        </is>
      </c>
      <c r="L20" t="inlineStr">
        <is>
          <t xml:space="preserve">  -</t>
        </is>
      </c>
      <c r="M20" t="inlineStr">
        <is>
          <t xml:space="preserve"> 05/08/2026 -</t>
        </is>
      </c>
      <c r="N20" t="n">
        <v>71</v>
      </c>
      <c r="O20" t="inlineStr">
        <is>
          <t>DE ACUERDOS</t>
        </is>
      </c>
      <c r="P20" t="inlineStr">
        <is>
          <t>05/08/2026</t>
        </is>
      </c>
      <c r="R20">
        <f>HYPERLINK("","")</f>
        <v/>
      </c>
      <c r="S20" t="inlineStr">
        <is>
          <t xml:space="preserve">              </t>
        </is>
      </c>
      <c r="T20" t="inlineStr">
        <is>
          <t xml:space="preserve"> - </t>
        </is>
      </c>
    </row>
    <row r="21">
      <c r="A21" t="inlineStr">
        <is>
          <t>PE</t>
        </is>
      </c>
      <c r="B21">
        <f>HYPERLINK("https://www.senado.gob.ar/parlamentario/comisiones/verExp/265.26/PE/AC","265")</f>
        <v/>
      </c>
      <c r="C21">
        <f>HYPERLINK("https://www.senado.gob.ar/parlamentario/comisiones/verExp/265.26/PE/AC","2026")</f>
        <v/>
      </c>
      <c r="D21" t="inlineStr">
        <is>
          <t>AC</t>
        </is>
      </c>
      <c r="E21" t="inlineStr">
        <is>
          <t>MENSAJE N° 246/26 QUE SOLICITA ACUERDO PARA DESIGNAR JUEZ DE CAMARA DEL TRIBUNAL ORAL EN LO PENAL ECONOMICO N° 2 DE LA CAPITAL FEDERAL, AL DR. FEDERICO JOSE IUSPA.</t>
        </is>
      </c>
      <c r="G21" t="inlineStr">
        <is>
          <t xml:space="preserve"> 27 27/08/2026 -</t>
        </is>
      </c>
      <c r="J21" t="inlineStr">
        <is>
          <t xml:space="preserve"> 05/08/2026 -</t>
        </is>
      </c>
      <c r="L21" t="inlineStr">
        <is>
          <t xml:space="preserve">  -</t>
        </is>
      </c>
      <c r="M21" t="inlineStr">
        <is>
          <t xml:space="preserve"> 05/08/2026 -</t>
        </is>
      </c>
      <c r="N21" t="n">
        <v>71</v>
      </c>
      <c r="O21" t="inlineStr">
        <is>
          <t>DE ACUERDOS</t>
        </is>
      </c>
      <c r="P21" t="inlineStr">
        <is>
          <t>05/08/2026</t>
        </is>
      </c>
      <c r="R21">
        <f>HYPERLINK("","")</f>
        <v/>
      </c>
      <c r="S21" t="inlineStr">
        <is>
          <t xml:space="preserve">              </t>
        </is>
      </c>
      <c r="T21" t="inlineStr">
        <is>
          <t xml:space="preserve"> - </t>
        </is>
      </c>
    </row>
    <row r="22">
      <c r="A22" t="inlineStr">
        <is>
          <t>PE</t>
        </is>
      </c>
      <c r="B22">
        <f>HYPERLINK("https://www.senado.gob.ar/parlamentario/comisiones/verExp/264.26/PE/AC","264")</f>
        <v/>
      </c>
      <c r="C22">
        <f>HYPERLINK("https://www.senado.gob.ar/parlamentario/comisiones/verExp/264.26/PE/AC","2026")</f>
        <v/>
      </c>
      <c r="D22" t="inlineStr">
        <is>
          <t>AC</t>
        </is>
      </c>
      <c r="E22" t="inlineStr">
        <is>
          <t>MENSAJE N° 245/26 QUE SOLICITA ACUERDO PARA DESIGNAR DEFENSORA AUXILIAR DE LA DEFENSORIA GENERAL DE LA NACION, A LA DRA. ROMINA SOLEDAD PARABONI.</t>
        </is>
      </c>
      <c r="G22" t="inlineStr">
        <is>
          <t xml:space="preserve"> 27 27/08/2026 -</t>
        </is>
      </c>
      <c r="J22" t="inlineStr">
        <is>
          <t xml:space="preserve"> 05/08/2026 -</t>
        </is>
      </c>
      <c r="L22" t="inlineStr">
        <is>
          <t xml:space="preserve">  -</t>
        </is>
      </c>
      <c r="M22" t="inlineStr">
        <is>
          <t xml:space="preserve"> 05/08/2026 -</t>
        </is>
      </c>
      <c r="N22" t="n">
        <v>71</v>
      </c>
      <c r="O22" t="inlineStr">
        <is>
          <t>DE ACUERDOS</t>
        </is>
      </c>
      <c r="P22" t="inlineStr">
        <is>
          <t>05/08/2026</t>
        </is>
      </c>
      <c r="R22">
        <f>HYPERLINK("","")</f>
        <v/>
      </c>
      <c r="S22" t="inlineStr">
        <is>
          <t xml:space="preserve">              </t>
        </is>
      </c>
      <c r="T22" t="inlineStr">
        <is>
          <t xml:space="preserve"> - </t>
        </is>
      </c>
    </row>
    <row r="23">
      <c r="A23" t="inlineStr">
        <is>
          <t>PE</t>
        </is>
      </c>
      <c r="B23">
        <f>HYPERLINK("https://www.senado.gob.ar/parlamentario/comisiones/verExp/263.26/PE/AC","263")</f>
        <v/>
      </c>
      <c r="C23">
        <f>HYPERLINK("https://www.senado.gob.ar/parlamentario/comisiones/verExp/263.26/PE/AC","2026")</f>
        <v/>
      </c>
      <c r="D23" t="inlineStr">
        <is>
          <t>AC</t>
        </is>
      </c>
      <c r="E23" t="inlineStr">
        <is>
          <t>MENSAJE N° 244/26 QUE SOLICITA ACUERDO PARA DESIGNAR DEFENSORA PUBLICA OFICIAL ANTE LOS JUZGADOS NACIONALES EN LO CRIMINAL Y CORRECCIONAL Y ANTE LA CAMARA NACIONAL DE APELACIONES EN LO CRIMINAL Y CORRECCIONAL DE LA CAPITAL FEDERAL, DEFENSORIA N° 12, A LA DRA. MARIA LUCRECIA SAMMARTINO.</t>
        </is>
      </c>
      <c r="G23" t="inlineStr">
        <is>
          <t xml:space="preserve"> 27 27/08/2026 -</t>
        </is>
      </c>
      <c r="J23" t="inlineStr">
        <is>
          <t xml:space="preserve"> 05/08/2026 -</t>
        </is>
      </c>
      <c r="L23" t="inlineStr">
        <is>
          <t xml:space="preserve">  -</t>
        </is>
      </c>
      <c r="M23" t="inlineStr">
        <is>
          <t xml:space="preserve"> 05/08/2026 -</t>
        </is>
      </c>
      <c r="N23" t="n">
        <v>71</v>
      </c>
      <c r="O23" t="inlineStr">
        <is>
          <t>DE ACUERDOS</t>
        </is>
      </c>
      <c r="P23" t="inlineStr">
        <is>
          <t>05/08/2026</t>
        </is>
      </c>
      <c r="R23">
        <f>HYPERLINK("","")</f>
        <v/>
      </c>
      <c r="S23" t="inlineStr">
        <is>
          <t xml:space="preserve">              </t>
        </is>
      </c>
      <c r="T23" t="inlineStr">
        <is>
          <t xml:space="preserve"> - </t>
        </is>
      </c>
    </row>
    <row r="24">
      <c r="A24" t="inlineStr">
        <is>
          <t>PE</t>
        </is>
      </c>
      <c r="B24">
        <f>HYPERLINK("https://www.senado.gob.ar/parlamentario/comisiones/verExp/262.26/PE/AC","262")</f>
        <v/>
      </c>
      <c r="C24">
        <f>HYPERLINK("https://www.senado.gob.ar/parlamentario/comisiones/verExp/262.26/PE/AC","2026")</f>
        <v/>
      </c>
      <c r="D24" t="inlineStr">
        <is>
          <t>AC</t>
        </is>
      </c>
      <c r="E24" t="inlineStr">
        <is>
          <t xml:space="preserve">MENSAJE N° 243/26 QUE SOLICITA ACUERDO PARA DESIGNAR JUEZ PENAL FEDERAL DEL JUZGADO FEDERAL DE GARANTIAS CON ASIENTO EN LA CIUDAD DE SAN LORENZO, PROVINCIA DE SANTA FE, AL DR. EMILIANO PEDRO MENDEZ ORTIZ.
</t>
        </is>
      </c>
      <c r="G24" t="inlineStr">
        <is>
          <t xml:space="preserve"> 26 27/08/2026 -</t>
        </is>
      </c>
      <c r="J24" t="inlineStr">
        <is>
          <t xml:space="preserve"> 03/08/2026 -</t>
        </is>
      </c>
      <c r="L24" t="inlineStr">
        <is>
          <t xml:space="preserve">  -</t>
        </is>
      </c>
      <c r="M24" t="inlineStr">
        <is>
          <t xml:space="preserve"> 03/08/2026 -</t>
        </is>
      </c>
      <c r="N24" t="n">
        <v>71</v>
      </c>
      <c r="O24" t="inlineStr">
        <is>
          <t>DE ACUERDOS</t>
        </is>
      </c>
      <c r="P24" t="inlineStr">
        <is>
          <t>03/08/2026</t>
        </is>
      </c>
      <c r="R24">
        <f>HYPERLINK("","")</f>
        <v/>
      </c>
      <c r="S24" t="inlineStr">
        <is>
          <t xml:space="preserve">              </t>
        </is>
      </c>
      <c r="T24" t="inlineStr">
        <is>
          <t xml:space="preserve"> - </t>
        </is>
      </c>
    </row>
    <row r="25">
      <c r="A25" t="inlineStr">
        <is>
          <t>PE</t>
        </is>
      </c>
      <c r="B25">
        <f>HYPERLINK("https://www.senado.gob.ar/parlamentario/comisiones/verExp/261.26/PE/AC","261")</f>
        <v/>
      </c>
      <c r="C25">
        <f>HYPERLINK("https://www.senado.gob.ar/parlamentario/comisiones/verExp/261.26/PE/AC","2026")</f>
        <v/>
      </c>
      <c r="D25" t="inlineStr">
        <is>
          <t>AC</t>
        </is>
      </c>
      <c r="E25" t="inlineStr">
        <is>
          <t xml:space="preserve">MENSAJE N° 242/26 QUE SOLICITA ACUERDO A FIN DE POSIBILITAR UN NUEVO NOMBRAMIENTO DEL FISCAL GENERAL ANTE LOS TRIBUNALES ORALES DE MENORES DE LA CAPITAL FEDERAL, FISCALIA N° 2, A LA DRA. SUSANA MARTA PERNAS.
</t>
        </is>
      </c>
      <c r="G25" t="inlineStr">
        <is>
          <t xml:space="preserve"> 26 27/08/2026 -</t>
        </is>
      </c>
      <c r="J25" t="inlineStr">
        <is>
          <t xml:space="preserve"> 03/08/2026 -</t>
        </is>
      </c>
      <c r="L25" t="inlineStr">
        <is>
          <t xml:space="preserve">  -</t>
        </is>
      </c>
      <c r="M25" t="inlineStr">
        <is>
          <t xml:space="preserve"> 03/08/2026 -</t>
        </is>
      </c>
      <c r="N25" t="n">
        <v>71</v>
      </c>
      <c r="O25" t="inlineStr">
        <is>
          <t>DE ACUERDOS</t>
        </is>
      </c>
      <c r="P25" t="inlineStr">
        <is>
          <t>03/08/2026</t>
        </is>
      </c>
      <c r="R25">
        <f>HYPERLINK("","")</f>
        <v/>
      </c>
      <c r="S25" t="inlineStr">
        <is>
          <t xml:space="preserve">              </t>
        </is>
      </c>
      <c r="T25" t="inlineStr">
        <is>
          <t xml:space="preserve"> - </t>
        </is>
      </c>
    </row>
    <row r="26">
      <c r="A26" t="inlineStr">
        <is>
          <t>PE</t>
        </is>
      </c>
      <c r="B26">
        <f>HYPERLINK("https://www.senado.gob.ar/parlamentario/comisiones/verExp/260.26/PE/AC","260")</f>
        <v/>
      </c>
      <c r="C26">
        <f>HYPERLINK("https://www.senado.gob.ar/parlamentario/comisiones/verExp/260.26/PE/AC","2026")</f>
        <v/>
      </c>
      <c r="D26" t="inlineStr">
        <is>
          <t>AC</t>
        </is>
      </c>
      <c r="E26" t="inlineStr">
        <is>
          <t xml:space="preserve">MENSAJE N° 241/26 QUE SOLICITA ACUERDO PARA DESIGNAR FISCAL FEDERAL DE LA SEDE FISCAL DESCENTRALIZADA DE CALETA OLIVIA, PROVINCIA DE SANTA CRUZ, AL DR. LUCAS ALBERTO COLLA.
</t>
        </is>
      </c>
      <c r="G26" t="inlineStr">
        <is>
          <t xml:space="preserve"> 26 27/08/2026 -</t>
        </is>
      </c>
      <c r="J26" t="inlineStr">
        <is>
          <t xml:space="preserve"> 03/08/2026 -</t>
        </is>
      </c>
      <c r="L26" t="inlineStr">
        <is>
          <t xml:space="preserve">  -</t>
        </is>
      </c>
      <c r="M26" t="inlineStr">
        <is>
          <t xml:space="preserve"> 03/08/2026 -</t>
        </is>
      </c>
      <c r="N26" t="n">
        <v>71</v>
      </c>
      <c r="O26" t="inlineStr">
        <is>
          <t>DE ACUERDOS</t>
        </is>
      </c>
      <c r="P26" t="inlineStr">
        <is>
          <t>03/08/2026</t>
        </is>
      </c>
      <c r="R26">
        <f>HYPERLINK("","")</f>
        <v/>
      </c>
      <c r="S26" t="inlineStr">
        <is>
          <t xml:space="preserve">              </t>
        </is>
      </c>
      <c r="T26" t="inlineStr">
        <is>
          <t xml:space="preserve"> - </t>
        </is>
      </c>
    </row>
    <row r="27">
      <c r="A27" t="inlineStr">
        <is>
          <t>PE</t>
        </is>
      </c>
      <c r="B27">
        <f>HYPERLINK("https://www.senado.gob.ar/parlamentario/comisiones/verExp/259.26/PE/AC","259")</f>
        <v/>
      </c>
      <c r="C27">
        <f>HYPERLINK("https://www.senado.gob.ar/parlamentario/comisiones/verExp/259.26/PE/AC","2026")</f>
        <v/>
      </c>
      <c r="D27" t="inlineStr">
        <is>
          <t>AC</t>
        </is>
      </c>
      <c r="E27" t="inlineStr">
        <is>
          <t xml:space="preserve">MENSAJE N° 240/26 QUE SOLICITA ACUERDO PARA DESIGNAR FISCAL ANTE EL JUZGADO FEDERAL DE PRIMERA INSTANCIA EN LO CIVIL, COMERCIAL Y CONTENCIOSO ADMINISTRATIVO DE POSADAS, PROVINCIA DE MISIONES, FISCALIA N° 2, AL DR. ARLINDO OTTO KURTZ.
</t>
        </is>
      </c>
      <c r="G27" t="inlineStr">
        <is>
          <t xml:space="preserve"> 26 27/08/2026 -</t>
        </is>
      </c>
      <c r="J27" t="inlineStr">
        <is>
          <t xml:space="preserve"> 03/08/2026 -</t>
        </is>
      </c>
      <c r="L27" t="inlineStr">
        <is>
          <t xml:space="preserve">  -</t>
        </is>
      </c>
      <c r="M27" t="inlineStr">
        <is>
          <t xml:space="preserve"> 03/08/2026 -</t>
        </is>
      </c>
      <c r="N27" t="n">
        <v>71</v>
      </c>
      <c r="O27" t="inlineStr">
        <is>
          <t>DE ACUERDOS</t>
        </is>
      </c>
      <c r="P27" t="inlineStr">
        <is>
          <t>03/08/2026</t>
        </is>
      </c>
      <c r="R27">
        <f>HYPERLINK("","")</f>
        <v/>
      </c>
      <c r="S27" t="inlineStr">
        <is>
          <t xml:space="preserve">              </t>
        </is>
      </c>
      <c r="T27" t="inlineStr">
        <is>
          <t xml:space="preserve"> - </t>
        </is>
      </c>
    </row>
    <row r="28">
      <c r="A28" t="inlineStr">
        <is>
          <t>PE</t>
        </is>
      </c>
      <c r="B28">
        <f>HYPERLINK("https://www.senado.gob.ar/parlamentario/comisiones/verExp/258.26/PE/AC","258")</f>
        <v/>
      </c>
      <c r="C28">
        <f>HYPERLINK("https://www.senado.gob.ar/parlamentario/comisiones/verExp/258.26/PE/AC","2026")</f>
        <v/>
      </c>
      <c r="D28" t="inlineStr">
        <is>
          <t>AC</t>
        </is>
      </c>
      <c r="E28" t="inlineStr">
        <is>
          <t xml:space="preserve">MENSAJE N° 239/26 QUE SOLICITA ACUERDO PARA DESIGNAR FISCAL ANTE LOS JUZGADOS NACIONALES EN LO CRIMINAL Y CORRECCIONAL DE LA CAPITAL FEDERAL, FISCALIA N° 45, A LA DRA. DANIELA ROMINA PART.
</t>
        </is>
      </c>
      <c r="G28" t="inlineStr">
        <is>
          <t xml:space="preserve"> 26 27/08/2026 -</t>
        </is>
      </c>
      <c r="J28" t="inlineStr">
        <is>
          <t xml:space="preserve"> 03/08/2026 -</t>
        </is>
      </c>
      <c r="L28" t="inlineStr">
        <is>
          <t xml:space="preserve">  -</t>
        </is>
      </c>
      <c r="M28" t="inlineStr">
        <is>
          <t xml:space="preserve"> 03/08/2026 -</t>
        </is>
      </c>
      <c r="N28" t="n">
        <v>71</v>
      </c>
      <c r="O28" t="inlineStr">
        <is>
          <t>DE ACUERDOS</t>
        </is>
      </c>
      <c r="P28" t="inlineStr">
        <is>
          <t>03/08/2026</t>
        </is>
      </c>
      <c r="R28">
        <f>HYPERLINK("","")</f>
        <v/>
      </c>
      <c r="S28" t="inlineStr">
        <is>
          <t xml:space="preserve">              </t>
        </is>
      </c>
      <c r="T28" t="inlineStr">
        <is>
          <t xml:space="preserve"> - </t>
        </is>
      </c>
    </row>
    <row r="29">
      <c r="A29" t="inlineStr">
        <is>
          <t>PE</t>
        </is>
      </c>
      <c r="B29">
        <f>HYPERLINK("https://www.senado.gob.ar/parlamentario/comisiones/verExp/257.26/PE/AC","257")</f>
        <v/>
      </c>
      <c r="C29">
        <f>HYPERLINK("https://www.senado.gob.ar/parlamentario/comisiones/verExp/257.26/PE/AC","2026")</f>
        <v/>
      </c>
      <c r="D29" t="inlineStr">
        <is>
          <t>AC</t>
        </is>
      </c>
      <c r="E29" t="inlineStr">
        <is>
          <t xml:space="preserve">MENSAJE N° 238/26 QUE SOLICITA ACUERDO PARA DESIGNAR VOCAL DE LA CAMARA NACIONAL DE APELACIONES EN LO COMERCIAL DE LA CAPITAL FEDERAL, SALA E, AL DR. FERNANDO GABRIEL D´ALESSANDRO.
</t>
        </is>
      </c>
      <c r="G29" t="inlineStr">
        <is>
          <t xml:space="preserve"> 26 27/08/2026 -</t>
        </is>
      </c>
      <c r="J29" t="inlineStr">
        <is>
          <t xml:space="preserve"> 03/08/2026 -</t>
        </is>
      </c>
      <c r="L29" t="inlineStr">
        <is>
          <t xml:space="preserve">  -</t>
        </is>
      </c>
      <c r="M29" t="inlineStr">
        <is>
          <t xml:space="preserve"> 03/08/2026 -</t>
        </is>
      </c>
      <c r="N29" t="n">
        <v>71</v>
      </c>
      <c r="O29" t="inlineStr">
        <is>
          <t>DE ACUERDOS</t>
        </is>
      </c>
      <c r="P29" t="inlineStr">
        <is>
          <t>03/08/2026</t>
        </is>
      </c>
      <c r="R29">
        <f>HYPERLINK("","")</f>
        <v/>
      </c>
      <c r="S29" t="inlineStr">
        <is>
          <t xml:space="preserve">              </t>
        </is>
      </c>
      <c r="T29" t="inlineStr">
        <is>
          <t xml:space="preserve"> - </t>
        </is>
      </c>
    </row>
    <row r="30">
      <c r="A30" t="inlineStr">
        <is>
          <t>PE</t>
        </is>
      </c>
      <c r="B30">
        <f>HYPERLINK("https://www.senado.gob.ar/parlamentario/comisiones/verExp/256.26/PE/AC","256")</f>
        <v/>
      </c>
      <c r="C30">
        <f>HYPERLINK("https://www.senado.gob.ar/parlamentario/comisiones/verExp/256.26/PE/AC","2026")</f>
        <v/>
      </c>
      <c r="D30" t="inlineStr">
        <is>
          <t>AC</t>
        </is>
      </c>
      <c r="E30" t="inlineStr">
        <is>
          <t xml:space="preserve">MENSAJE N° 235/26 QUE SOLICITA ACUERDO PARA DESIGNAR FISCAL ANTE LOS JUZGADOS NACIONALES EN LO CRIMINAL Y CORRECCIONAL DE LA CAPITAL FEDERAL, FISCALIA N° 49, A LA DRA. MARIA NOEL FERNANDEZ RIVERA.
</t>
        </is>
      </c>
      <c r="G30" t="inlineStr">
        <is>
          <t xml:space="preserve"> 26 27/08/2026 -</t>
        </is>
      </c>
      <c r="J30" t="inlineStr">
        <is>
          <t xml:space="preserve"> 03/08/2026 -</t>
        </is>
      </c>
      <c r="L30" t="inlineStr">
        <is>
          <t xml:space="preserve">  -</t>
        </is>
      </c>
      <c r="M30" t="inlineStr">
        <is>
          <t xml:space="preserve"> 03/08/2026 -</t>
        </is>
      </c>
      <c r="N30" t="n">
        <v>71</v>
      </c>
      <c r="O30" t="inlineStr">
        <is>
          <t>DE ACUERDOS</t>
        </is>
      </c>
      <c r="P30" t="inlineStr">
        <is>
          <t>03/08/2026</t>
        </is>
      </c>
      <c r="R30">
        <f>HYPERLINK("","")</f>
        <v/>
      </c>
      <c r="S30" t="inlineStr">
        <is>
          <t xml:space="preserve">              </t>
        </is>
      </c>
      <c r="T30" t="inlineStr">
        <is>
          <t xml:space="preserve"> - </t>
        </is>
      </c>
    </row>
    <row r="31">
      <c r="A31" t="inlineStr">
        <is>
          <t>PE</t>
        </is>
      </c>
      <c r="B31">
        <f>HYPERLINK("https://www.senado.gob.ar/parlamentario/comisiones/verExp/255.26/PE/AC","255")</f>
        <v/>
      </c>
      <c r="C31">
        <f>HYPERLINK("https://www.senado.gob.ar/parlamentario/comisiones/verExp/255.26/PE/AC","2026")</f>
        <v/>
      </c>
      <c r="D31" t="inlineStr">
        <is>
          <t>AC</t>
        </is>
      </c>
      <c r="E31" t="inlineStr">
        <is>
          <t xml:space="preserve">MENSAJE N° 234/26 QUE SOLICITA ACUERDO PARA DESIGNAR FISCAL ANTE LOS JUZGADOS NACIONALES EN LO CRIMINAL Y CORRECCIONAL DE LA CAPITAL FEDERAL, FISCALIA N° 55, A LA DRA. ALEJANDRA LEONOR PEREZ.
</t>
        </is>
      </c>
      <c r="G31" t="inlineStr">
        <is>
          <t xml:space="preserve"> 26 27/08/2026 -</t>
        </is>
      </c>
      <c r="J31" t="inlineStr">
        <is>
          <t xml:space="preserve"> 03/08/2026 -</t>
        </is>
      </c>
      <c r="L31" t="inlineStr">
        <is>
          <t xml:space="preserve">  -</t>
        </is>
      </c>
      <c r="M31" t="inlineStr">
        <is>
          <t xml:space="preserve"> 03/08/2026 -</t>
        </is>
      </c>
      <c r="N31" t="n">
        <v>71</v>
      </c>
      <c r="O31" t="inlineStr">
        <is>
          <t>DE ACUERDOS</t>
        </is>
      </c>
      <c r="P31" t="inlineStr">
        <is>
          <t>03/08/2026</t>
        </is>
      </c>
      <c r="R31">
        <f>HYPERLINK("","")</f>
        <v/>
      </c>
      <c r="S31" t="inlineStr">
        <is>
          <t xml:space="preserve">              </t>
        </is>
      </c>
      <c r="T31" t="inlineStr">
        <is>
          <t xml:space="preserve"> - </t>
        </is>
      </c>
    </row>
    <row r="32">
      <c r="A32" t="inlineStr">
        <is>
          <t>PE</t>
        </is>
      </c>
      <c r="B32">
        <f>HYPERLINK("https://www.senado.gob.ar/parlamentario/comisiones/verExp/254.26/PE/AC","254")</f>
        <v/>
      </c>
      <c r="C32">
        <f>HYPERLINK("https://www.senado.gob.ar/parlamentario/comisiones/verExp/254.26/PE/AC","2026")</f>
        <v/>
      </c>
      <c r="D32" t="inlineStr">
        <is>
          <t>AC</t>
        </is>
      </c>
      <c r="E32" t="inlineStr">
        <is>
          <t xml:space="preserve">MENSAJE N° 233/26 QUE SOLICITA ACUERDO PARA DESIGNAR FISCAL ANTE LOS JUZGADOS NACIONALES EN LO CRIMINAL Y CORRECCIONAL DE LA CAPITAL FEDERAL, FISCALIA N° 60, AL DR. GABRIEL ESTEBAN PARAMOS.
</t>
        </is>
      </c>
      <c r="G32" t="inlineStr">
        <is>
          <t xml:space="preserve"> 26 27/08/2026 -</t>
        </is>
      </c>
      <c r="J32" t="inlineStr">
        <is>
          <t xml:space="preserve"> 03/08/2026 -</t>
        </is>
      </c>
      <c r="L32" t="inlineStr">
        <is>
          <t xml:space="preserve">  -</t>
        </is>
      </c>
      <c r="M32" t="inlineStr">
        <is>
          <t xml:space="preserve"> 03/08/2026 -</t>
        </is>
      </c>
      <c r="N32" t="n">
        <v>71</v>
      </c>
      <c r="O32" t="inlineStr">
        <is>
          <t>DE ACUERDOS</t>
        </is>
      </c>
      <c r="P32" t="inlineStr">
        <is>
          <t>03/08/2026</t>
        </is>
      </c>
      <c r="R32">
        <f>HYPERLINK("","")</f>
        <v/>
      </c>
      <c r="S32" t="inlineStr">
        <is>
          <t xml:space="preserve">              </t>
        </is>
      </c>
      <c r="T32" t="inlineStr">
        <is>
          <t xml:space="preserve"> - </t>
        </is>
      </c>
    </row>
    <row r="33">
      <c r="A33" t="inlineStr">
        <is>
          <t>PE</t>
        </is>
      </c>
      <c r="B33">
        <f>HYPERLINK("https://www.senado.gob.ar/parlamentario/comisiones/verExp/253.26/PE/AC","253")</f>
        <v/>
      </c>
      <c r="C33">
        <f>HYPERLINK("https://www.senado.gob.ar/parlamentario/comisiones/verExp/253.26/PE/AC","2026")</f>
        <v/>
      </c>
      <c r="D33" t="inlineStr">
        <is>
          <t>AC</t>
        </is>
      </c>
      <c r="E33" t="inlineStr">
        <is>
          <t xml:space="preserve">MENSAJE N° 232/26 QUE SOLICITA ACUERDO PARA DESIGNAR FISCAL ANTE LOS JUZGADOS NACIONALES EN LO CRIMINAL Y CORRECCIONAL DE LA CAPITAL FEDERAL, FISCALIA N° 11, AL DR. SEBASTIAN EDUARDO MARTINEZ.
</t>
        </is>
      </c>
      <c r="G33" t="inlineStr">
        <is>
          <t xml:space="preserve"> 26 27/08/2026 -</t>
        </is>
      </c>
      <c r="J33" t="inlineStr">
        <is>
          <t xml:space="preserve"> 03/08/2026 -</t>
        </is>
      </c>
      <c r="L33" t="inlineStr">
        <is>
          <t xml:space="preserve">  -</t>
        </is>
      </c>
      <c r="M33" t="inlineStr">
        <is>
          <t xml:space="preserve"> 03/08/2026 -</t>
        </is>
      </c>
      <c r="N33" t="n">
        <v>71</v>
      </c>
      <c r="O33" t="inlineStr">
        <is>
          <t>DE ACUERDOS</t>
        </is>
      </c>
      <c r="P33" t="inlineStr">
        <is>
          <t>03/08/2026</t>
        </is>
      </c>
      <c r="R33">
        <f>HYPERLINK("","")</f>
        <v/>
      </c>
      <c r="S33" t="inlineStr">
        <is>
          <t xml:space="preserve">              </t>
        </is>
      </c>
      <c r="T33" t="inlineStr">
        <is>
          <t xml:space="preserve"> - </t>
        </is>
      </c>
    </row>
    <row r="34">
      <c r="A34" t="inlineStr">
        <is>
          <t>PE</t>
        </is>
      </c>
      <c r="B34">
        <f>HYPERLINK("https://www.senado.gob.ar/parlamentario/comisiones/verExp/252.26/PE/AC","252")</f>
        <v/>
      </c>
      <c r="C34">
        <f>HYPERLINK("https://www.senado.gob.ar/parlamentario/comisiones/verExp/252.26/PE/AC","2026")</f>
        <v/>
      </c>
      <c r="D34" t="inlineStr">
        <is>
          <t>AC</t>
        </is>
      </c>
      <c r="E34" t="inlineStr">
        <is>
          <t xml:space="preserve">MENSAJE N° 231/26 QUE SOLICITA ACUERDO PARA DESIGNAR FISCAL ANTE LOS JUZGADOS NACIONALES EN LO CRIMINAL Y CORRECCIONAL DE LA CAPITAL FEDERAL, FISCALIA N° 38, AL DR. GUSTAVO AMELOTTI.
</t>
        </is>
      </c>
      <c r="G34" t="inlineStr">
        <is>
          <t xml:space="preserve"> 26 27/08/2026 -</t>
        </is>
      </c>
      <c r="J34" t="inlineStr">
        <is>
          <t xml:space="preserve"> 03/08/2026 -</t>
        </is>
      </c>
      <c r="L34" t="inlineStr">
        <is>
          <t xml:space="preserve">  -</t>
        </is>
      </c>
      <c r="M34" t="inlineStr">
        <is>
          <t xml:space="preserve"> 03/08/2026 -</t>
        </is>
      </c>
      <c r="N34" t="n">
        <v>71</v>
      </c>
      <c r="O34" t="inlineStr">
        <is>
          <t>DE ACUERDOS</t>
        </is>
      </c>
      <c r="P34" t="inlineStr">
        <is>
          <t>03/08/2026</t>
        </is>
      </c>
      <c r="R34">
        <f>HYPERLINK("","")</f>
        <v/>
      </c>
      <c r="S34" t="inlineStr">
        <is>
          <t xml:space="preserve">              </t>
        </is>
      </c>
      <c r="T34" t="inlineStr">
        <is>
          <t xml:space="preserve"> - </t>
        </is>
      </c>
    </row>
    <row r="35">
      <c r="A35" t="inlineStr">
        <is>
          <t>PE</t>
        </is>
      </c>
      <c r="B35">
        <f>HYPERLINK("https://www.senado.gob.ar/parlamentario/comisiones/verExp/251.26/PE/AC","251")</f>
        <v/>
      </c>
      <c r="C35">
        <f>HYPERLINK("https://www.senado.gob.ar/parlamentario/comisiones/verExp/251.26/PE/AC","2026")</f>
        <v/>
      </c>
      <c r="D35" t="inlineStr">
        <is>
          <t>AC</t>
        </is>
      </c>
      <c r="E35" t="inlineStr">
        <is>
          <t xml:space="preserve">MENSAJE N° 230/26 QUE SOLICITA ACUERDO PARA DESIGNAR FISCAL ANTE LOS JUZGADOS NACIONALES EN LO CRIMINAL Y CORRECCIONAL DE LA CAPITAL FEDERAL, FISCALIA N° 53, AL DR. FACUNDO JESUS SORIANO.
</t>
        </is>
      </c>
      <c r="G35" t="inlineStr">
        <is>
          <t xml:space="preserve"> 26 27/08/2026 -</t>
        </is>
      </c>
      <c r="J35" t="inlineStr">
        <is>
          <t xml:space="preserve"> 03/08/2026 -</t>
        </is>
      </c>
      <c r="L35" t="inlineStr">
        <is>
          <t xml:space="preserve">  -</t>
        </is>
      </c>
      <c r="M35" t="inlineStr">
        <is>
          <t xml:space="preserve"> 03/08/2026 -</t>
        </is>
      </c>
      <c r="N35" t="n">
        <v>71</v>
      </c>
      <c r="O35" t="inlineStr">
        <is>
          <t>DE ACUERDOS</t>
        </is>
      </c>
      <c r="P35" t="inlineStr">
        <is>
          <t>03/08/2026</t>
        </is>
      </c>
      <c r="R35">
        <f>HYPERLINK("","")</f>
        <v/>
      </c>
      <c r="S35" t="inlineStr">
        <is>
          <t xml:space="preserve">              </t>
        </is>
      </c>
      <c r="T35" t="inlineStr">
        <is>
          <t xml:space="preserve"> - </t>
        </is>
      </c>
    </row>
    <row r="36">
      <c r="A36" t="inlineStr">
        <is>
          <t>PE</t>
        </is>
      </c>
      <c r="B36">
        <f>HYPERLINK("https://www.senado.gob.ar/parlamentario/comisiones/verExp/250.26/PE/AC","250")</f>
        <v/>
      </c>
      <c r="C36">
        <f>HYPERLINK("https://www.senado.gob.ar/parlamentario/comisiones/verExp/250.26/PE/AC","2026")</f>
        <v/>
      </c>
      <c r="D36" t="inlineStr">
        <is>
          <t>AC</t>
        </is>
      </c>
      <c r="E36" t="inlineStr">
        <is>
          <t xml:space="preserve">MENSAJE N° 229/26 QUE SOLICITA ACUERDO PARA DESIGNAR FISCAL ANTE LOS JUZGADOS NACIONALES EN LO CRIMINAL Y CORRECCIONAL DE LA CAPITAL FEDERAL, FISCALIA N° 18, AL DR. EDUARDO MIGUEL ROCCHI.
</t>
        </is>
      </c>
      <c r="G36" t="inlineStr">
        <is>
          <t xml:space="preserve"> 26 27/08/2026 -</t>
        </is>
      </c>
      <c r="J36" t="inlineStr">
        <is>
          <t xml:space="preserve"> 03/08/2026 -</t>
        </is>
      </c>
      <c r="L36" t="inlineStr">
        <is>
          <t xml:space="preserve">  -</t>
        </is>
      </c>
      <c r="M36" t="inlineStr">
        <is>
          <t xml:space="preserve"> 03/08/2026 -</t>
        </is>
      </c>
      <c r="N36" t="n">
        <v>71</v>
      </c>
      <c r="O36" t="inlineStr">
        <is>
          <t>DE ACUERDOS</t>
        </is>
      </c>
      <c r="P36" t="inlineStr">
        <is>
          <t>03/08/2026</t>
        </is>
      </c>
      <c r="R36">
        <f>HYPERLINK("","")</f>
        <v/>
      </c>
      <c r="S36" t="inlineStr">
        <is>
          <t xml:space="preserve">              </t>
        </is>
      </c>
      <c r="T36" t="inlineStr">
        <is>
          <t xml:space="preserve"> - </t>
        </is>
      </c>
    </row>
    <row r="37">
      <c r="A37" t="inlineStr">
        <is>
          <t>PE</t>
        </is>
      </c>
      <c r="B37">
        <f>HYPERLINK("https://www.senado.gob.ar/parlamentario/comisiones/verExp/249.26/PE/AC","249")</f>
        <v/>
      </c>
      <c r="C37">
        <f>HYPERLINK("https://www.senado.gob.ar/parlamentario/comisiones/verExp/249.26/PE/AC","2026")</f>
        <v/>
      </c>
      <c r="D37" t="inlineStr">
        <is>
          <t>AC</t>
        </is>
      </c>
      <c r="E37" t="inlineStr">
        <is>
          <t xml:space="preserve">MENSAJE N° 228/26 QUE SOLICITA ACUERDO PARA DESIGNAR DEFENSOR PUBLICO DE VICTIMA CON ASIENTO EN LA PROVINCIA DE MENDOZA AL DR. SANTIAGO BAHAMONDES.
</t>
        </is>
      </c>
      <c r="G37" t="inlineStr">
        <is>
          <t xml:space="preserve"> 26 27/08/2026 -</t>
        </is>
      </c>
      <c r="J37" t="inlineStr">
        <is>
          <t xml:space="preserve"> 03/08/2026 -</t>
        </is>
      </c>
      <c r="L37" t="inlineStr">
        <is>
          <t xml:space="preserve">  -</t>
        </is>
      </c>
      <c r="M37" t="inlineStr">
        <is>
          <t xml:space="preserve"> 03/08/2026 -</t>
        </is>
      </c>
      <c r="N37" t="n">
        <v>71</v>
      </c>
      <c r="O37" t="inlineStr">
        <is>
          <t>DE ACUERDOS</t>
        </is>
      </c>
      <c r="P37" t="inlineStr">
        <is>
          <t>03/08/2026</t>
        </is>
      </c>
      <c r="R37">
        <f>HYPERLINK("","")</f>
        <v/>
      </c>
      <c r="S37" t="inlineStr">
        <is>
          <t xml:space="preserve">              </t>
        </is>
      </c>
      <c r="T37" t="inlineStr">
        <is>
          <t xml:space="preserve"> - </t>
        </is>
      </c>
    </row>
    <row r="38">
      <c r="A38" t="inlineStr">
        <is>
          <t>PE</t>
        </is>
      </c>
      <c r="B38">
        <f>HYPERLINK("https://www.senado.gob.ar/parlamentario/comisiones/verExp/248.26/PE/AC","248")</f>
        <v/>
      </c>
      <c r="C38">
        <f>HYPERLINK("https://www.senado.gob.ar/parlamentario/comisiones/verExp/248.26/PE/AC","2026")</f>
        <v/>
      </c>
      <c r="D38" t="inlineStr">
        <is>
          <t>AC</t>
        </is>
      </c>
      <c r="E38" t="inlineStr">
        <is>
          <t xml:space="preserve">MENSAJE N° 227/26 QUE SOLICITA ACUERDO PARA DESIGNAR DEFENSORA PUBLICA DE MENORES E INCAPACES ANTE LOS TRIBUNALES ORALES EN LO CRIMINAL Y CORRECCIONAL DE LA CAPITAL FEDERAL, DEFENSORIA N°3 A LA DRA. CAROLINA MORALES DEGANUT.
</t>
        </is>
      </c>
      <c r="G38" t="inlineStr">
        <is>
          <t xml:space="preserve"> 26 27/08/2026 -</t>
        </is>
      </c>
      <c r="J38" t="inlineStr">
        <is>
          <t xml:space="preserve"> 03/08/2026 -</t>
        </is>
      </c>
      <c r="L38" t="inlineStr">
        <is>
          <t xml:space="preserve">  -</t>
        </is>
      </c>
      <c r="M38" t="inlineStr">
        <is>
          <t xml:space="preserve"> 03/08/2026 -</t>
        </is>
      </c>
      <c r="N38" t="n">
        <v>71</v>
      </c>
      <c r="O38" t="inlineStr">
        <is>
          <t>DE ACUERDOS</t>
        </is>
      </c>
      <c r="P38" t="inlineStr">
        <is>
          <t>03/08/2026</t>
        </is>
      </c>
      <c r="R38">
        <f>HYPERLINK("","")</f>
        <v/>
      </c>
      <c r="S38" t="inlineStr">
        <is>
          <t xml:space="preserve">              </t>
        </is>
      </c>
      <c r="T38" t="inlineStr">
        <is>
          <t xml:space="preserve"> - </t>
        </is>
      </c>
    </row>
    <row r="39">
      <c r="A39" t="inlineStr">
        <is>
          <t>PE</t>
        </is>
      </c>
      <c r="B39">
        <f>HYPERLINK("https://www.senado.gob.ar/parlamentario/comisiones/verExp/237.26/PE/AC","237")</f>
        <v/>
      </c>
      <c r="C39">
        <f>HYPERLINK("https://www.senado.gob.ar/parlamentario/comisiones/verExp/237.26/PE/AC","2026")</f>
        <v/>
      </c>
      <c r="D39" t="inlineStr">
        <is>
          <t>AC</t>
        </is>
      </c>
      <c r="E39" t="inlineStr">
        <is>
          <t xml:space="preserve">MENSAJE N° 222/26 QUE SOLICITA ACUERDO PARA DESIGNAR CONJUECES DE LOS JUZGADOS NACIONALES DE PRIMERA INSTANCIA DEL TRABAJO DE LA JURISDICCION DE LA CAMARA NACIONAL DE APELACIONES DEL TRABAJO DE LA CAPITAL FEDERAL.
</t>
        </is>
      </c>
      <c r="G39" t="inlineStr">
        <is>
          <t xml:space="preserve"> 25 27/08/2026 -</t>
        </is>
      </c>
      <c r="J39" t="inlineStr">
        <is>
          <t xml:space="preserve"> 17/07/2026 -</t>
        </is>
      </c>
      <c r="L39" t="inlineStr">
        <is>
          <t xml:space="preserve">  -</t>
        </is>
      </c>
      <c r="M39" t="inlineStr">
        <is>
          <t xml:space="preserve"> 17/07/2026 -</t>
        </is>
      </c>
      <c r="N39" t="n">
        <v>71</v>
      </c>
      <c r="O39" t="inlineStr">
        <is>
          <t>DE ACUERDOS</t>
        </is>
      </c>
      <c r="P39" t="inlineStr">
        <is>
          <t>17/07/2026</t>
        </is>
      </c>
      <c r="R39">
        <f>HYPERLINK("","")</f>
        <v/>
      </c>
      <c r="S39" t="inlineStr">
        <is>
          <t xml:space="preserve">              </t>
        </is>
      </c>
      <c r="T39" t="inlineStr">
        <is>
          <t xml:space="preserve"> - </t>
        </is>
      </c>
    </row>
    <row r="40">
      <c r="A40" t="inlineStr">
        <is>
          <t>PE</t>
        </is>
      </c>
      <c r="B40">
        <f>HYPERLINK("https://www.senado.gob.ar/parlamentario/comisiones/verExp/236.26/PE/AC","236")</f>
        <v/>
      </c>
      <c r="C40">
        <f>HYPERLINK("https://www.senado.gob.ar/parlamentario/comisiones/verExp/236.26/PE/AC","2026")</f>
        <v/>
      </c>
      <c r="D40" t="inlineStr">
        <is>
          <t>AC</t>
        </is>
      </c>
      <c r="E40" t="inlineStr">
        <is>
          <t xml:space="preserve">MENSAJE N° 221/26 QUE SOLICITA ACUERDO PARA DESIGNAR CONJUECES DE LOS TRIBUNALES ORALES EN LO CRIMINAL Y CORRECCIONAL DE LA CAPITAL FEDERAL.
</t>
        </is>
      </c>
      <c r="G40" t="inlineStr">
        <is>
          <t xml:space="preserve"> 25 27/08/2026 -</t>
        </is>
      </c>
      <c r="J40" t="inlineStr">
        <is>
          <t xml:space="preserve"> 17/07/2026 -</t>
        </is>
      </c>
      <c r="L40" t="inlineStr">
        <is>
          <t xml:space="preserve">  -</t>
        </is>
      </c>
      <c r="M40" t="inlineStr">
        <is>
          <t xml:space="preserve"> 17/07/2026 -</t>
        </is>
      </c>
      <c r="N40" t="n">
        <v>71</v>
      </c>
      <c r="O40" t="inlineStr">
        <is>
          <t>DE ACUERDOS</t>
        </is>
      </c>
      <c r="P40" t="inlineStr">
        <is>
          <t>17/07/2026</t>
        </is>
      </c>
      <c r="R40">
        <f>HYPERLINK("","")</f>
        <v/>
      </c>
      <c r="S40" t="inlineStr">
        <is>
          <t xml:space="preserve">              </t>
        </is>
      </c>
      <c r="T40" t="inlineStr">
        <is>
          <t xml:space="preserve"> - </t>
        </is>
      </c>
    </row>
    <row r="41">
      <c r="A41" t="inlineStr">
        <is>
          <t>PE</t>
        </is>
      </c>
      <c r="B41">
        <f>HYPERLINK("https://www.senado.gob.ar/parlamentario/comisiones/verExp/233.26/PE/AC","233")</f>
        <v/>
      </c>
      <c r="C41">
        <f>HYPERLINK("https://www.senado.gob.ar/parlamentario/comisiones/verExp/233.26/PE/AC","2026")</f>
        <v/>
      </c>
      <c r="D41" t="inlineStr">
        <is>
          <t>AC</t>
        </is>
      </c>
      <c r="E41" t="inlineStr">
        <is>
          <t>MENSAJE N° 218/26 QUE SOLICITA ACUERDO PARA DESIGNAR JUEZ DE CAMARA DEL TRIBUNAL ORAL EN LO CRIMINAL FEDERAL N° 6 DE LA CAPITAL FEDERAL, AL DR. RAMIRO VELASCO.</t>
        </is>
      </c>
      <c r="G41" t="inlineStr">
        <is>
          <t xml:space="preserve"> 24 16/07/2026 -</t>
        </is>
      </c>
      <c r="J41" t="inlineStr">
        <is>
          <t xml:space="preserve"> 13/07/2026 -</t>
        </is>
      </c>
      <c r="L41" t="inlineStr">
        <is>
          <t xml:space="preserve"> 19/08/2026 -</t>
        </is>
      </c>
      <c r="M41" t="inlineStr">
        <is>
          <t xml:space="preserve"> 13/07/2026 -</t>
        </is>
      </c>
      <c r="N41" t="n">
        <v>71</v>
      </c>
      <c r="O41" t="inlineStr">
        <is>
          <t>DE ACUERDOS</t>
        </is>
      </c>
      <c r="P41" t="inlineStr">
        <is>
          <t>13/07/2026</t>
        </is>
      </c>
      <c r="Q41" t="inlineStr">
        <is>
          <t>19/08/2026</t>
        </is>
      </c>
      <c r="R41">
        <f>HYPERLINK("https://www.senado.gob.ar/parlamentario/parlamentaria/ordenDelDiaResultadoLink/2026/320"," 320 2026 AP -")</f>
        <v/>
      </c>
      <c r="S41" t="inlineStr">
        <is>
          <t xml:space="preserve">AP  27/08/2026            </t>
        </is>
      </c>
      <c r="T41" t="inlineStr">
        <is>
          <t xml:space="preserve"> - </t>
        </is>
      </c>
    </row>
    <row r="42">
      <c r="A42" t="inlineStr">
        <is>
          <t>PE</t>
        </is>
      </c>
      <c r="B42">
        <f>HYPERLINK("https://www.senado.gob.ar/parlamentario/comisiones/verExp/232.26/PE/AC","232")</f>
        <v/>
      </c>
      <c r="C42">
        <f>HYPERLINK("https://www.senado.gob.ar/parlamentario/comisiones/verExp/232.26/PE/AC","2026")</f>
        <v/>
      </c>
      <c r="D42" t="inlineStr">
        <is>
          <t>AC</t>
        </is>
      </c>
      <c r="E42" t="inlineStr">
        <is>
          <t>MENSAJE N° 217/26 QUE SOLICITA ACUERDO PARA DESIGNAR JUEZA DE CAMARA DEL TRIBUNAL ORAL EN LO CRIMINAL FEDERAL N° 4 DE LA CAPITAL FEDERAL, A LA DRA. VALERIA ALEJANDRA RICO.</t>
        </is>
      </c>
      <c r="G42" t="inlineStr">
        <is>
          <t xml:space="preserve"> 24 16/07/2026 -</t>
        </is>
      </c>
      <c r="J42" t="inlineStr">
        <is>
          <t xml:space="preserve"> 13/07/2026 -</t>
        </is>
      </c>
      <c r="L42" t="inlineStr">
        <is>
          <t xml:space="preserve"> 19/08/2026 -</t>
        </is>
      </c>
      <c r="M42" t="inlineStr">
        <is>
          <t xml:space="preserve"> 13/07/2026 -</t>
        </is>
      </c>
      <c r="N42" t="n">
        <v>71</v>
      </c>
      <c r="O42" t="inlineStr">
        <is>
          <t>DE ACUERDOS</t>
        </is>
      </c>
      <c r="P42" t="inlineStr">
        <is>
          <t>13/07/2026</t>
        </is>
      </c>
      <c r="Q42" t="inlineStr">
        <is>
          <t>19/08/2026</t>
        </is>
      </c>
      <c r="R42">
        <f>HYPERLINK("https://www.senado.gob.ar/parlamentario/parlamentaria/ordenDelDiaResultadoLink/2026/319"," 319 2026 AP -")</f>
        <v/>
      </c>
      <c r="S42" t="inlineStr">
        <is>
          <t xml:space="preserve">AP  27/08/2026            </t>
        </is>
      </c>
      <c r="T42" t="inlineStr">
        <is>
          <t xml:space="preserve"> - </t>
        </is>
      </c>
    </row>
    <row r="43">
      <c r="A43" t="inlineStr">
        <is>
          <t>PE</t>
        </is>
      </c>
      <c r="B43">
        <f>HYPERLINK("https://www.senado.gob.ar/parlamentario/comisiones/verExp/231.26/PE/AC","231")</f>
        <v/>
      </c>
      <c r="C43">
        <f>HYPERLINK("https://www.senado.gob.ar/parlamentario/comisiones/verExp/231.26/PE/AC","2026")</f>
        <v/>
      </c>
      <c r="D43" t="inlineStr">
        <is>
          <t>AC</t>
        </is>
      </c>
      <c r="E43" t="inlineStr">
        <is>
          <t xml:space="preserve">MENSAJE N° 216/26 QUE SOLICITA ACUERDO PARA DESIGNAR VOCAL DE LA CAMARA NACIONAL DE APELACIONES EN LO CRIMINAL Y CORRECCIONAL FEDERAL DE LA CAPITAL FEDERAL, SALA I, AL DR. PABLO YADAROLA.
</t>
        </is>
      </c>
      <c r="G43" t="inlineStr">
        <is>
          <t xml:space="preserve"> 24 16/07/2026 -</t>
        </is>
      </c>
      <c r="J43" t="inlineStr">
        <is>
          <t xml:space="preserve"> 13/07/2026 -</t>
        </is>
      </c>
      <c r="L43" t="inlineStr">
        <is>
          <t xml:space="preserve"> 12/08/2026 -</t>
        </is>
      </c>
      <c r="M43" t="inlineStr">
        <is>
          <t xml:space="preserve"> 13/07/2026 -</t>
        </is>
      </c>
      <c r="N43" t="n">
        <v>71</v>
      </c>
      <c r="O43" t="inlineStr">
        <is>
          <t>DE ACUERDOS</t>
        </is>
      </c>
      <c r="P43" t="inlineStr">
        <is>
          <t>13/07/2026</t>
        </is>
      </c>
      <c r="Q43" t="inlineStr">
        <is>
          <t>12/08/2026</t>
        </is>
      </c>
      <c r="R43">
        <f>HYPERLINK("https://www.senado.gob.ar/parlamentario/parlamentaria/ordenDelDiaResultadoLink/2026/293"," 293 2026 AP -")</f>
        <v/>
      </c>
      <c r="S43" t="inlineStr">
        <is>
          <t xml:space="preserve">AP  27/08/2026            </t>
        </is>
      </c>
      <c r="T43" t="inlineStr">
        <is>
          <t xml:space="preserve"> - </t>
        </is>
      </c>
    </row>
    <row r="44">
      <c r="A44" t="inlineStr">
        <is>
          <t>PE</t>
        </is>
      </c>
      <c r="B44">
        <f>HYPERLINK("https://www.senado.gob.ar/parlamentario/comisiones/verExp/230.26/PE/AC","230")</f>
        <v/>
      </c>
      <c r="C44">
        <f>HYPERLINK("https://www.senado.gob.ar/parlamentario/comisiones/verExp/230.26/PE/AC","2026")</f>
        <v/>
      </c>
      <c r="D44" t="inlineStr">
        <is>
          <t>AC</t>
        </is>
      </c>
      <c r="E44" t="inlineStr">
        <is>
          <t>MENSAJE N° 215/26 QUE SOLICITA ACUERDO PARA DESIGNAR JUEZ DEL JUZGADO NACIONAL DE PRIMERA INSTANCIA EN LO CIVIL N° 26 DE LA CAPITAL FEDERAL, AL DR. SERGIO BUITRAGO.</t>
        </is>
      </c>
      <c r="G44" t="inlineStr">
        <is>
          <t xml:space="preserve"> 24 16/07/2026 -</t>
        </is>
      </c>
      <c r="J44" t="inlineStr">
        <is>
          <t xml:space="preserve"> 13/07/2026 -</t>
        </is>
      </c>
      <c r="L44" t="inlineStr">
        <is>
          <t xml:space="preserve"> 19/08/2026 -</t>
        </is>
      </c>
      <c r="M44" t="inlineStr">
        <is>
          <t xml:space="preserve"> 13/07/2026 -</t>
        </is>
      </c>
      <c r="N44" t="n">
        <v>71</v>
      </c>
      <c r="O44" t="inlineStr">
        <is>
          <t>DE ACUERDOS</t>
        </is>
      </c>
      <c r="P44" t="inlineStr">
        <is>
          <t>13/07/2026</t>
        </is>
      </c>
      <c r="Q44" t="inlineStr">
        <is>
          <t>19/08/2026</t>
        </is>
      </c>
      <c r="R44">
        <f>HYPERLINK("https://www.senado.gob.ar/parlamentario/parlamentaria/ordenDelDiaResultadoLink/2026/318"," 318 2026 AP -")</f>
        <v/>
      </c>
      <c r="S44" t="inlineStr">
        <is>
          <t xml:space="preserve">AP  27/08/2026            </t>
        </is>
      </c>
      <c r="T44" t="inlineStr">
        <is>
          <t xml:space="preserve"> - </t>
        </is>
      </c>
    </row>
    <row r="45">
      <c r="A45" t="inlineStr">
        <is>
          <t>PE</t>
        </is>
      </c>
      <c r="B45">
        <f>HYPERLINK("https://www.senado.gob.ar/parlamentario/comisiones/verExp/229.26/PE/AC","229")</f>
        <v/>
      </c>
      <c r="C45">
        <f>HYPERLINK("https://www.senado.gob.ar/parlamentario/comisiones/verExp/229.26/PE/AC","2026")</f>
        <v/>
      </c>
      <c r="D45" t="inlineStr">
        <is>
          <t>AC</t>
        </is>
      </c>
      <c r="E45" t="inlineStr">
        <is>
          <t xml:space="preserve">MENSAJE N° 214/26 QUE SOLICITA ACUERDO PARA DESIGNAR VOCAL DE LA CAMARA NACIONAL DE APELACIONES EN LO CRIMINAL Y CORRECCIONAL FEDERAL DE LA CAPITAL FEDERAL, SALA I, AL DR. PABLO DANIEL BERTUZZI.
</t>
        </is>
      </c>
      <c r="G45" t="inlineStr">
        <is>
          <t xml:space="preserve"> 24 16/07/2026 -</t>
        </is>
      </c>
      <c r="J45" t="inlineStr">
        <is>
          <t xml:space="preserve"> 13/07/2026 -</t>
        </is>
      </c>
      <c r="L45" t="inlineStr">
        <is>
          <t xml:space="preserve"> 12/08/2026 -</t>
        </is>
      </c>
      <c r="M45" t="inlineStr">
        <is>
          <t xml:space="preserve"> 13/07/2026 -</t>
        </is>
      </c>
      <c r="N45" t="n">
        <v>71</v>
      </c>
      <c r="O45" t="inlineStr">
        <is>
          <t>DE ACUERDOS</t>
        </is>
      </c>
      <c r="P45" t="inlineStr">
        <is>
          <t>13/07/2026</t>
        </is>
      </c>
      <c r="Q45" t="inlineStr">
        <is>
          <t>12/08/2026</t>
        </is>
      </c>
      <c r="R45">
        <f>HYPERLINK("https://www.senado.gob.ar/parlamentario/parlamentaria/ordenDelDiaResultadoLink/2026/292"," 292 2026 AP -")</f>
        <v/>
      </c>
      <c r="S45" t="inlineStr">
        <is>
          <t xml:space="preserve">AP  27/08/2026            </t>
        </is>
      </c>
      <c r="T45" t="inlineStr">
        <is>
          <t xml:space="preserve"> - </t>
        </is>
      </c>
    </row>
    <row r="46">
      <c r="A46" t="inlineStr">
        <is>
          <t>PE</t>
        </is>
      </c>
      <c r="B46">
        <f>HYPERLINK("https://www.senado.gob.ar/parlamentario/comisiones/verExp/228.26/PE/AC","228")</f>
        <v/>
      </c>
      <c r="C46">
        <f>HYPERLINK("https://www.senado.gob.ar/parlamentario/comisiones/verExp/228.26/PE/AC","2026")</f>
        <v/>
      </c>
      <c r="D46" t="inlineStr">
        <is>
          <t>AC</t>
        </is>
      </c>
      <c r="E46" t="inlineStr">
        <is>
          <t xml:space="preserve">MENSAJE N° 213/26 QUE SOLICITA ACUERDO PARA DESIGNAR JUEZ DE CAMARA DEL TRIBUNAL ORAL EN LO CRIMINAL FEDERAL N° 6 DE LA CAPITAL FEDERAL, AL DR. SANTIAGO JUAN SCHIOPETTO.
</t>
        </is>
      </c>
      <c r="G46" t="inlineStr">
        <is>
          <t xml:space="preserve"> 24 16/07/2026 -</t>
        </is>
      </c>
      <c r="J46" t="inlineStr">
        <is>
          <t xml:space="preserve"> 13/07/2026 -</t>
        </is>
      </c>
      <c r="L46" t="inlineStr">
        <is>
          <t xml:space="preserve"> 19/08/2026 -</t>
        </is>
      </c>
      <c r="M46" t="inlineStr">
        <is>
          <t xml:space="preserve"> 13/07/2026 -</t>
        </is>
      </c>
      <c r="N46" t="n">
        <v>71</v>
      </c>
      <c r="O46" t="inlineStr">
        <is>
          <t>DE ACUERDOS</t>
        </is>
      </c>
      <c r="P46" t="inlineStr">
        <is>
          <t>13/07/2026</t>
        </is>
      </c>
      <c r="Q46" t="inlineStr">
        <is>
          <t>19/08/2026</t>
        </is>
      </c>
      <c r="R46">
        <f>HYPERLINK("https://www.senado.gob.ar/parlamentario/parlamentaria/ordenDelDiaResultadoLink/2026/317"," 317 2026 AP -")</f>
        <v/>
      </c>
      <c r="S46" t="inlineStr">
        <is>
          <t xml:space="preserve">AP  27/08/2026            </t>
        </is>
      </c>
      <c r="T46" t="inlineStr">
        <is>
          <t xml:space="preserve"> - </t>
        </is>
      </c>
    </row>
    <row r="47">
      <c r="A47" t="inlineStr">
        <is>
          <t>PE</t>
        </is>
      </c>
      <c r="B47">
        <f>HYPERLINK("https://www.senado.gob.ar/parlamentario/comisiones/verExp/222.26/PE/AC","222")</f>
        <v/>
      </c>
      <c r="C47">
        <f>HYPERLINK("https://www.senado.gob.ar/parlamentario/comisiones/verExp/222.26/PE/AC","2026")</f>
        <v/>
      </c>
      <c r="D47" t="inlineStr">
        <is>
          <t>AC</t>
        </is>
      </c>
      <c r="E47" t="inlineStr">
        <is>
          <t xml:space="preserve">MENSAJE N° 211/26 QUE SOLICITA ACUERDO PARA DESIGNAR FISCAL ANTE LOS JUZGADOS NACIONALES EN LO CRIMINAL Y CORRECCIONAL DE LA CAPITAL FEDERAL, FISCALIA N° 27, A LA DRA. ORNELLA ROMINA RIGGITANO.
</t>
        </is>
      </c>
      <c r="G47" t="inlineStr">
        <is>
          <t xml:space="preserve"> 23 16/07/2026 -</t>
        </is>
      </c>
      <c r="J47" t="inlineStr">
        <is>
          <t xml:space="preserve"> 25/06/2026 -</t>
        </is>
      </c>
      <c r="L47" t="inlineStr">
        <is>
          <t xml:space="preserve"> 19/08/2026 -</t>
        </is>
      </c>
      <c r="M47" t="inlineStr">
        <is>
          <t xml:space="preserve"> 25/06/2026 -</t>
        </is>
      </c>
      <c r="N47" t="n">
        <v>71</v>
      </c>
      <c r="O47" t="inlineStr">
        <is>
          <t>DE ACUERDOS</t>
        </is>
      </c>
      <c r="P47" t="inlineStr">
        <is>
          <t>25/06/2026</t>
        </is>
      </c>
      <c r="Q47" t="inlineStr">
        <is>
          <t>19/08/2026</t>
        </is>
      </c>
      <c r="R47">
        <f>HYPERLINK("https://www.senado.gob.ar/parlamentario/parlamentaria/ordenDelDiaResultadoLink/2026/316"," 316 2026 AP -")</f>
        <v/>
      </c>
      <c r="S47" t="inlineStr">
        <is>
          <t xml:space="preserve">AP  27/08/2026            </t>
        </is>
      </c>
      <c r="T47" t="inlineStr">
        <is>
          <t xml:space="preserve"> - </t>
        </is>
      </c>
    </row>
    <row r="48">
      <c r="A48" t="inlineStr">
        <is>
          <t>PE</t>
        </is>
      </c>
      <c r="B48">
        <f>HYPERLINK("https://www.senado.gob.ar/parlamentario/comisiones/verExp/221.26/PE/AC","221")</f>
        <v/>
      </c>
      <c r="C48">
        <f>HYPERLINK("https://www.senado.gob.ar/parlamentario/comisiones/verExp/221.26/PE/AC","2026")</f>
        <v/>
      </c>
      <c r="D48" t="inlineStr">
        <is>
          <t>AC</t>
        </is>
      </c>
      <c r="E48" t="inlineStr">
        <is>
          <t xml:space="preserve">MENSAJE N° 210/26 QUE SOLICITA ACUERDO PARA DESIGNAR FISCAL ANTE LOS JUZGADOS NACIONALES EN LO CRIMINAL Y CORRECCIONAL DE LA CAPITAL FEDERAL, FISCALIA N° 7, AL DR. MATIAS EZEQUIEL EIDEM.
</t>
        </is>
      </c>
      <c r="G48" t="inlineStr">
        <is>
          <t xml:space="preserve"> 23 16/07/2026 -</t>
        </is>
      </c>
      <c r="J48" t="inlineStr">
        <is>
          <t xml:space="preserve"> 25/06/2026 -</t>
        </is>
      </c>
      <c r="L48" t="inlineStr">
        <is>
          <t xml:space="preserve"> 19/08/2026 -</t>
        </is>
      </c>
      <c r="M48" t="inlineStr">
        <is>
          <t xml:space="preserve"> 25/06/2026 -</t>
        </is>
      </c>
      <c r="N48" t="n">
        <v>71</v>
      </c>
      <c r="O48" t="inlineStr">
        <is>
          <t>DE ACUERDOS</t>
        </is>
      </c>
      <c r="P48" t="inlineStr">
        <is>
          <t>25/06/2026</t>
        </is>
      </c>
      <c r="Q48" t="inlineStr">
        <is>
          <t>19/08/2026</t>
        </is>
      </c>
      <c r="R48">
        <f>HYPERLINK("https://www.senado.gob.ar/parlamentario/parlamentaria/ordenDelDiaResultadoLink/2026/315"," 315 2026 AP -")</f>
        <v/>
      </c>
      <c r="S48" t="inlineStr">
        <is>
          <t xml:space="preserve">AP  27/08/2026            </t>
        </is>
      </c>
      <c r="T48" t="inlineStr">
        <is>
          <t xml:space="preserve"> - </t>
        </is>
      </c>
    </row>
    <row r="49">
      <c r="A49" t="inlineStr">
        <is>
          <t>PE</t>
        </is>
      </c>
      <c r="B49">
        <f>HYPERLINK("https://www.senado.gob.ar/parlamentario/comisiones/verExp/220.26/PE/AC","220")</f>
        <v/>
      </c>
      <c r="C49">
        <f>HYPERLINK("https://www.senado.gob.ar/parlamentario/comisiones/verExp/220.26/PE/AC","2026")</f>
        <v/>
      </c>
      <c r="D49" t="inlineStr">
        <is>
          <t>AC</t>
        </is>
      </c>
      <c r="E49" t="inlineStr">
        <is>
          <t xml:space="preserve">MENSAJE N° 209/26 QUE SOLICITA ACUERDO PARA DESIGNAR JUEZ DEL JUZGADO NACIONAL DE PRIMERA INSTANCIA EN LO CONTENCIOSO ADMINISTRATIVO FEDERAL N° 7 DE LA CAPITAL FEDERAL, AL DR. LEONARDO MARCO TOIA.
</t>
        </is>
      </c>
      <c r="G49" t="inlineStr">
        <is>
          <t xml:space="preserve"> 23 16/07/2026 -</t>
        </is>
      </c>
      <c r="J49" t="inlineStr">
        <is>
          <t xml:space="preserve"> 25/06/2026 -</t>
        </is>
      </c>
      <c r="L49" t="inlineStr">
        <is>
          <t xml:space="preserve">  -</t>
        </is>
      </c>
      <c r="M49" t="inlineStr">
        <is>
          <t xml:space="preserve"> 25/06/2026 -</t>
        </is>
      </c>
      <c r="N49" t="n">
        <v>71</v>
      </c>
      <c r="O49" t="inlineStr">
        <is>
          <t>DE ACUERDOS</t>
        </is>
      </c>
      <c r="P49" t="inlineStr">
        <is>
          <t>25/06/2026</t>
        </is>
      </c>
      <c r="R49">
        <f>HYPERLINK("","")</f>
        <v/>
      </c>
      <c r="S49" t="inlineStr">
        <is>
          <t xml:space="preserve">              </t>
        </is>
      </c>
      <c r="T49" t="inlineStr">
        <is>
          <t xml:space="preserve"> - </t>
        </is>
      </c>
    </row>
    <row r="50">
      <c r="A50" t="inlineStr">
        <is>
          <t>PE</t>
        </is>
      </c>
      <c r="B50">
        <f>HYPERLINK("https://www.senado.gob.ar/parlamentario/comisiones/verExp/219.26/PE/AC","219")</f>
        <v/>
      </c>
      <c r="C50">
        <f>HYPERLINK("https://www.senado.gob.ar/parlamentario/comisiones/verExp/219.26/PE/AC","2026")</f>
        <v/>
      </c>
      <c r="D50" t="inlineStr">
        <is>
          <t>AC</t>
        </is>
      </c>
      <c r="E50" t="inlineStr">
        <is>
          <t xml:space="preserve">MENSAJE N° 208/26 QUE SOLICITA ACUERDO PARA DESIGNAR FISCAL ANTE LOS JUZGADOS NACIONALES EN LO CRIMINAL Y CORRECCIONAL DE LA CAPITAL FEDERAL, FISCALIA N° 35, AL DR. JUAN NOEL VARELA.
</t>
        </is>
      </c>
      <c r="G50" t="inlineStr">
        <is>
          <t xml:space="preserve"> 23 16/07/2026 -</t>
        </is>
      </c>
      <c r="J50" t="inlineStr">
        <is>
          <t xml:space="preserve"> 25/06/2026 -</t>
        </is>
      </c>
      <c r="L50" t="inlineStr">
        <is>
          <t xml:space="preserve"> 13/08/2026 -</t>
        </is>
      </c>
      <c r="M50" t="inlineStr">
        <is>
          <t xml:space="preserve"> 25/06/2026 -</t>
        </is>
      </c>
      <c r="N50" t="n">
        <v>71</v>
      </c>
      <c r="O50" t="inlineStr">
        <is>
          <t>DE ACUERDOS</t>
        </is>
      </c>
      <c r="P50" t="inlineStr">
        <is>
          <t>25/06/2026</t>
        </is>
      </c>
      <c r="Q50" t="inlineStr">
        <is>
          <t>13/08/2026</t>
        </is>
      </c>
      <c r="R50">
        <f>HYPERLINK("https://www.senado.gob.ar/parlamentario/parlamentaria/ordenDelDiaResultadoLink/2026/306"," 306 2026 AP -")</f>
        <v/>
      </c>
      <c r="S50" t="inlineStr">
        <is>
          <t xml:space="preserve">AP  27/08/2026            </t>
        </is>
      </c>
      <c r="T50" t="inlineStr">
        <is>
          <t xml:space="preserve"> - </t>
        </is>
      </c>
    </row>
    <row r="51">
      <c r="A51" t="inlineStr">
        <is>
          <t>PE</t>
        </is>
      </c>
      <c r="B51">
        <f>HYPERLINK("https://www.senado.gob.ar/parlamentario/comisiones/verExp/218.26/PE/AC","218")</f>
        <v/>
      </c>
      <c r="C51">
        <f>HYPERLINK("https://www.senado.gob.ar/parlamentario/comisiones/verExp/218.26/PE/AC","2026")</f>
        <v/>
      </c>
      <c r="D51" t="inlineStr">
        <is>
          <t>AC</t>
        </is>
      </c>
      <c r="E51" t="inlineStr">
        <is>
          <t xml:space="preserve">MENSAJE N° 207/26 QUE SOLICITA ACUERDO PARA DESIGNAR FISCAL ANTE LOS JUZGADOS NACIONALES EN LO CRIMINAL Y CORRECCIONAL DE LA CAPITAL FEDERAL, FISCALIA N° 43, A LA DRA. PATRICIA LUJAN CISNERO.
</t>
        </is>
      </c>
      <c r="G51" t="inlineStr">
        <is>
          <t xml:space="preserve"> 23 16/07/2026 -</t>
        </is>
      </c>
      <c r="J51" t="inlineStr">
        <is>
          <t xml:space="preserve"> 25/06/2026 -</t>
        </is>
      </c>
      <c r="L51" t="inlineStr">
        <is>
          <t xml:space="preserve"> 13/08/2026 -</t>
        </is>
      </c>
      <c r="M51" t="inlineStr">
        <is>
          <t xml:space="preserve"> 25/06/2026 -</t>
        </is>
      </c>
      <c r="N51" t="n">
        <v>71</v>
      </c>
      <c r="O51" t="inlineStr">
        <is>
          <t>DE ACUERDOS</t>
        </is>
      </c>
      <c r="P51" t="inlineStr">
        <is>
          <t>25/06/2026</t>
        </is>
      </c>
      <c r="Q51" t="inlineStr">
        <is>
          <t>13/08/2026</t>
        </is>
      </c>
      <c r="R51">
        <f>HYPERLINK("https://www.senado.gob.ar/parlamentario/parlamentaria/ordenDelDiaResultadoLink/2026/305"," 305 2026 AP -")</f>
        <v/>
      </c>
      <c r="S51" t="inlineStr">
        <is>
          <t xml:space="preserve">AP  27/08/2026            </t>
        </is>
      </c>
      <c r="T51" t="inlineStr">
        <is>
          <t xml:space="preserve"> - </t>
        </is>
      </c>
    </row>
    <row r="52">
      <c r="A52" t="inlineStr">
        <is>
          <t>PE</t>
        </is>
      </c>
      <c r="B52">
        <f>HYPERLINK("https://www.senado.gob.ar/parlamentario/comisiones/verExp/217.26/PE/AC","217")</f>
        <v/>
      </c>
      <c r="C52">
        <f>HYPERLINK("https://www.senado.gob.ar/parlamentario/comisiones/verExp/217.26/PE/AC","2026")</f>
        <v/>
      </c>
      <c r="D52" t="inlineStr">
        <is>
          <t>AC</t>
        </is>
      </c>
      <c r="E52" t="inlineStr">
        <is>
          <t xml:space="preserve">MENSAJE N° 206/26 QUE SOLICITA ACUERDO PARA DESIGNAR FISCAL ANTE LOS JUZGADOS NACIONALES EN LO CRIMINAL Y CORRECCIONAL DE LA CAPITAL FEDERAL, FISCALIA N° 3, AL DR. DANIEL FERNANDO CANO.
</t>
        </is>
      </c>
      <c r="G52" t="inlineStr">
        <is>
          <t xml:space="preserve"> 23 16/07/2026 -</t>
        </is>
      </c>
      <c r="J52" t="inlineStr">
        <is>
          <t xml:space="preserve"> 25/06/2026 -</t>
        </is>
      </c>
      <c r="L52" t="inlineStr">
        <is>
          <t xml:space="preserve"> 13/08/2026 -</t>
        </is>
      </c>
      <c r="M52" t="inlineStr">
        <is>
          <t xml:space="preserve"> 25/06/2026 -</t>
        </is>
      </c>
      <c r="N52" t="n">
        <v>71</v>
      </c>
      <c r="O52" t="inlineStr">
        <is>
          <t>DE ACUERDOS</t>
        </is>
      </c>
      <c r="P52" t="inlineStr">
        <is>
          <t>25/06/2026</t>
        </is>
      </c>
      <c r="Q52" t="inlineStr">
        <is>
          <t>13/08/2026</t>
        </is>
      </c>
      <c r="R52">
        <f>HYPERLINK("https://www.senado.gob.ar/parlamentario/parlamentaria/ordenDelDiaResultadoLink/2026/304"," 304 2026 AP -")</f>
        <v/>
      </c>
      <c r="S52" t="inlineStr">
        <is>
          <t xml:space="preserve">AP  27/08/2026            </t>
        </is>
      </c>
      <c r="T52" t="inlineStr">
        <is>
          <t xml:space="preserve"> - </t>
        </is>
      </c>
    </row>
    <row r="53">
      <c r="A53" t="inlineStr">
        <is>
          <t>PE</t>
        </is>
      </c>
      <c r="B53">
        <f>HYPERLINK("https://www.senado.gob.ar/parlamentario/comisiones/verExp/216.26/PE/AC","216")</f>
        <v/>
      </c>
      <c r="C53">
        <f>HYPERLINK("https://www.senado.gob.ar/parlamentario/comisiones/verExp/216.26/PE/AC","2026")</f>
        <v/>
      </c>
      <c r="D53" t="inlineStr">
        <is>
          <t>AC</t>
        </is>
      </c>
      <c r="E53" t="inlineStr">
        <is>
          <t xml:space="preserve">MENSAJE N° 205/26 QUE SOLICITA ACUERDO PARA DESIGNAR DEFENSOR PUBLICO OFICIAL ANTE LOS TRIBUNALES ORALES EN LO CRIMINAL Y CORRECCIONAL DE LA CAPITAL FEDERAL, DEFENSORIA N° 6, AL DR. ESTEBAN JOSE CHERVIN.
</t>
        </is>
      </c>
      <c r="G53" t="inlineStr">
        <is>
          <t xml:space="preserve"> 23 16/07/2026 -</t>
        </is>
      </c>
      <c r="J53" t="inlineStr">
        <is>
          <t xml:space="preserve"> 25/06/2026 -</t>
        </is>
      </c>
      <c r="L53" t="inlineStr">
        <is>
          <t xml:space="preserve"> 13/08/2026 -</t>
        </is>
      </c>
      <c r="M53" t="inlineStr">
        <is>
          <t xml:space="preserve"> 25/06/2026 -</t>
        </is>
      </c>
      <c r="N53" t="n">
        <v>71</v>
      </c>
      <c r="O53" t="inlineStr">
        <is>
          <t>DE ACUERDOS</t>
        </is>
      </c>
      <c r="P53" t="inlineStr">
        <is>
          <t>25/06/2026</t>
        </is>
      </c>
      <c r="Q53" t="inlineStr">
        <is>
          <t>13/08/2026</t>
        </is>
      </c>
      <c r="R53">
        <f>HYPERLINK("https://www.senado.gob.ar/parlamentario/parlamentaria/ordenDelDiaResultadoLink/2026/303"," 303 2026 AP -")</f>
        <v/>
      </c>
      <c r="S53" t="inlineStr">
        <is>
          <t xml:space="preserve">AP  27/08/2026            </t>
        </is>
      </c>
      <c r="T53" t="inlineStr">
        <is>
          <t xml:space="preserve"> - </t>
        </is>
      </c>
    </row>
    <row r="54">
      <c r="A54" t="inlineStr">
        <is>
          <t>PE</t>
        </is>
      </c>
      <c r="B54">
        <f>HYPERLINK("https://www.senado.gob.ar/parlamentario/comisiones/verExp/215.26/PE/AC","215")</f>
        <v/>
      </c>
      <c r="C54">
        <f>HYPERLINK("https://www.senado.gob.ar/parlamentario/comisiones/verExp/215.26/PE/AC","2026")</f>
        <v/>
      </c>
      <c r="D54" t="inlineStr">
        <is>
          <t>AC</t>
        </is>
      </c>
      <c r="E54" t="inlineStr">
        <is>
          <t xml:space="preserve">MENSAJE N° 204/26 QUE SOLICITA ACUERDO PARA DESIGNAR DEFENSOR PUBLICO OFICIAL ANTE LOS TRIBUNALES ORALES EN LO CRIMINAL FEDERAL DE LA PLATA, PROV. DE BUENOS AIRES, DEFENSORIA N° 2, AL DR. LEANDRO GASTON.
</t>
        </is>
      </c>
      <c r="G54" t="inlineStr">
        <is>
          <t xml:space="preserve"> 23 16/07/2026 -</t>
        </is>
      </c>
      <c r="J54" t="inlineStr">
        <is>
          <t xml:space="preserve"> 25/06/2026 -</t>
        </is>
      </c>
      <c r="L54" t="inlineStr">
        <is>
          <t xml:space="preserve"> 19/08/2026 -</t>
        </is>
      </c>
      <c r="M54" t="inlineStr">
        <is>
          <t xml:space="preserve"> 25/06/2026 -</t>
        </is>
      </c>
      <c r="N54" t="n">
        <v>71</v>
      </c>
      <c r="O54" t="inlineStr">
        <is>
          <t>DE ACUERDOS</t>
        </is>
      </c>
      <c r="P54" t="inlineStr">
        <is>
          <t>25/06/2026</t>
        </is>
      </c>
      <c r="Q54" t="inlineStr">
        <is>
          <t>19/08/2026</t>
        </is>
      </c>
      <c r="R54">
        <f>HYPERLINK("https://www.senado.gob.ar/parlamentario/parlamentaria/ordenDelDiaResultadoLink/2026/314"," 314 2026 AP -")</f>
        <v/>
      </c>
      <c r="S54" t="inlineStr">
        <is>
          <t xml:space="preserve">AP  27/08/2026            </t>
        </is>
      </c>
      <c r="T54" t="inlineStr">
        <is>
          <t xml:space="preserve"> - </t>
        </is>
      </c>
    </row>
    <row r="55">
      <c r="A55" t="inlineStr">
        <is>
          <t>PE</t>
        </is>
      </c>
      <c r="B55">
        <f>HYPERLINK("https://www.senado.gob.ar/parlamentario/comisiones/verExp/214.26/PE/AC","214")</f>
        <v/>
      </c>
      <c r="C55">
        <f>HYPERLINK("https://www.senado.gob.ar/parlamentario/comisiones/verExp/214.26/PE/AC","2026")</f>
        <v/>
      </c>
      <c r="D55" t="inlineStr">
        <is>
          <t>AC</t>
        </is>
      </c>
      <c r="E55" t="inlineStr">
        <is>
          <t xml:space="preserve">MENSAJE N° 203/26 QUE SOLICITA ACUERDO PARA DESIGNAR JUEZA DE CAMARA DEL TRIBUNAL ORAL EN LO CRIMINAL FEDERAL DE CATAMARCA, PROV. DE CATAMARCA, A LA DRA. MARIA VIRGINIA MIGUEL CARMONA.
</t>
        </is>
      </c>
      <c r="G55" t="inlineStr">
        <is>
          <t xml:space="preserve"> 23 16/07/2026 -</t>
        </is>
      </c>
      <c r="J55" t="inlineStr">
        <is>
          <t xml:space="preserve"> 25/06/2026 -</t>
        </is>
      </c>
      <c r="L55" t="inlineStr">
        <is>
          <t xml:space="preserve"> 19/08/2026 -</t>
        </is>
      </c>
      <c r="M55" t="inlineStr">
        <is>
          <t xml:space="preserve"> 25/06/2026 -</t>
        </is>
      </c>
      <c r="N55" t="n">
        <v>71</v>
      </c>
      <c r="O55" t="inlineStr">
        <is>
          <t>DE ACUERDOS</t>
        </is>
      </c>
      <c r="P55" t="inlineStr">
        <is>
          <t>25/06/2026</t>
        </is>
      </c>
      <c r="Q55" t="inlineStr">
        <is>
          <t>19/08/2026</t>
        </is>
      </c>
      <c r="R55">
        <f>HYPERLINK("https://www.senado.gob.ar/parlamentario/parlamentaria/ordenDelDiaResultadoLink/2026/313"," 313 2026 AP -")</f>
        <v/>
      </c>
      <c r="S55" t="inlineStr">
        <is>
          <t xml:space="preserve">AP  27/08/2026            </t>
        </is>
      </c>
      <c r="T55" t="inlineStr">
        <is>
          <t xml:space="preserve"> - </t>
        </is>
      </c>
    </row>
    <row r="56">
      <c r="A56" t="inlineStr">
        <is>
          <t>PE</t>
        </is>
      </c>
      <c r="B56">
        <f>HYPERLINK("https://www.senado.gob.ar/parlamentario/comisiones/verExp/213.26/PE/AC","213")</f>
        <v/>
      </c>
      <c r="C56">
        <f>HYPERLINK("https://www.senado.gob.ar/parlamentario/comisiones/verExp/213.26/PE/AC","2026")</f>
        <v/>
      </c>
      <c r="D56" t="inlineStr">
        <is>
          <t>AC</t>
        </is>
      </c>
      <c r="E56" t="inlineStr">
        <is>
          <t xml:space="preserve">MENSAJE N° 202/26 QUE SOLICITA ACUERDO PARA DESIGNAR VOCAL DE LA CAMARA FEDERAL DE APELACIONES DE CORDOBA, PROV. DE CORDOBA, SALA A, A LA DRA. MARIA SOLEDAD MANCINI.
</t>
        </is>
      </c>
      <c r="G56" t="inlineStr">
        <is>
          <t xml:space="preserve"> 23 16/07/2026 -</t>
        </is>
      </c>
      <c r="J56" t="inlineStr">
        <is>
          <t xml:space="preserve"> 25/06/2026 -</t>
        </is>
      </c>
      <c r="L56" t="inlineStr">
        <is>
          <t xml:space="preserve"> 19/08/2026 -</t>
        </is>
      </c>
      <c r="M56" t="inlineStr">
        <is>
          <t xml:space="preserve"> 25/06/2026 -</t>
        </is>
      </c>
      <c r="N56" t="n">
        <v>71</v>
      </c>
      <c r="O56" t="inlineStr">
        <is>
          <t>DE ACUERDOS</t>
        </is>
      </c>
      <c r="P56" t="inlineStr">
        <is>
          <t>25/06/2026</t>
        </is>
      </c>
      <c r="Q56" t="inlineStr">
        <is>
          <t>19/08/2026</t>
        </is>
      </c>
      <c r="R56">
        <f>HYPERLINK("https://www.senado.gob.ar/parlamentario/parlamentaria/ordenDelDiaResultadoLink/2026/312"," 312 2026 AP -")</f>
        <v/>
      </c>
      <c r="S56" t="inlineStr">
        <is>
          <t xml:space="preserve">AP  27/08/2026            </t>
        </is>
      </c>
      <c r="T56" t="inlineStr">
        <is>
          <t xml:space="preserve"> - </t>
        </is>
      </c>
    </row>
    <row r="57">
      <c r="A57" t="inlineStr">
        <is>
          <t>PE</t>
        </is>
      </c>
      <c r="B57">
        <f>HYPERLINK("https://www.senado.gob.ar/parlamentario/comisiones/verExp/212.26/PE/AC","212")</f>
        <v/>
      </c>
      <c r="C57">
        <f>HYPERLINK("https://www.senado.gob.ar/parlamentario/comisiones/verExp/212.26/PE/AC","2026")</f>
        <v/>
      </c>
      <c r="D57" t="inlineStr">
        <is>
          <t>AC</t>
        </is>
      </c>
      <c r="E57" t="inlineStr">
        <is>
          <t>MENSAJE N° 201/26 QUE SOLICITA ACUERDO PARA DESIGNAR JUEZ DEL JUZGADO NACIONAL DE PRIMERA INSTANCIA EN LO CIVIL N° 22 DE LA CAPITAL FEDERAL, AL DR. JUAN SANTIAGO YLARRI.</t>
        </is>
      </c>
      <c r="G57" t="inlineStr">
        <is>
          <t xml:space="preserve"> 23 16/07/2026 -</t>
        </is>
      </c>
      <c r="J57" t="inlineStr">
        <is>
          <t xml:space="preserve"> 25/06/2026 -</t>
        </is>
      </c>
      <c r="L57" t="inlineStr">
        <is>
          <t xml:space="preserve"> 13/08/2026 -</t>
        </is>
      </c>
      <c r="M57" t="inlineStr">
        <is>
          <t xml:space="preserve"> 25/06/2026 -</t>
        </is>
      </c>
      <c r="N57" t="n">
        <v>71</v>
      </c>
      <c r="O57" t="inlineStr">
        <is>
          <t>DE ACUERDOS</t>
        </is>
      </c>
      <c r="P57" t="inlineStr">
        <is>
          <t>25/06/2026</t>
        </is>
      </c>
      <c r="Q57" t="inlineStr">
        <is>
          <t>13/08/2026</t>
        </is>
      </c>
      <c r="R57">
        <f>HYPERLINK("https://www.senado.gob.ar/parlamentario/parlamentaria/ordenDelDiaResultadoLink/2026/302"," 302 2026 AP -")</f>
        <v/>
      </c>
      <c r="S57" t="inlineStr">
        <is>
          <t xml:space="preserve">AP  27/08/2026            </t>
        </is>
      </c>
      <c r="T57" t="inlineStr">
        <is>
          <t xml:space="preserve"> - </t>
        </is>
      </c>
    </row>
    <row r="58">
      <c r="A58" t="inlineStr">
        <is>
          <t>PE</t>
        </is>
      </c>
      <c r="B58">
        <f>HYPERLINK("https://www.senado.gob.ar/parlamentario/comisiones/verExp/211.26/PE/AC","211")</f>
        <v/>
      </c>
      <c r="C58">
        <f>HYPERLINK("https://www.senado.gob.ar/parlamentario/comisiones/verExp/211.26/PE/AC","2026")</f>
        <v/>
      </c>
      <c r="D58" t="inlineStr">
        <is>
          <t>AC</t>
        </is>
      </c>
      <c r="E58" t="inlineStr">
        <is>
          <t>MENSAJE N° 200/26 QUE SOLICITA ACUERDO PARA DESIGNAR JUEZ DE CAMARA DEL TRIBUNAL ORAL EN LO CRIMINAL Y CORRECCIONAL N° 19 DE LA CAPITAL FEDERAL, AL DR. PABLO CESAR CINA.</t>
        </is>
      </c>
      <c r="G58" t="inlineStr">
        <is>
          <t xml:space="preserve"> 23 16/07/2026 -</t>
        </is>
      </c>
      <c r="J58" t="inlineStr">
        <is>
          <t xml:space="preserve"> 25/06/2026 -</t>
        </is>
      </c>
      <c r="L58" t="inlineStr">
        <is>
          <t xml:space="preserve"> 13/08/2026 -</t>
        </is>
      </c>
      <c r="M58" t="inlineStr">
        <is>
          <t xml:space="preserve"> 25/06/2026 -</t>
        </is>
      </c>
      <c r="N58" t="n">
        <v>71</v>
      </c>
      <c r="O58" t="inlineStr">
        <is>
          <t>DE ACUERDOS</t>
        </is>
      </c>
      <c r="P58" t="inlineStr">
        <is>
          <t>25/06/2026</t>
        </is>
      </c>
      <c r="Q58" t="inlineStr">
        <is>
          <t>13/08/2026</t>
        </is>
      </c>
      <c r="R58">
        <f>HYPERLINK("https://www.senado.gob.ar/parlamentario/parlamentaria/ordenDelDiaResultadoLink/2026/301"," 301 2026 AP -")</f>
        <v/>
      </c>
      <c r="S58" t="inlineStr">
        <is>
          <t xml:space="preserve">AP  27/08/2026            </t>
        </is>
      </c>
      <c r="T58" t="inlineStr">
        <is>
          <t xml:space="preserve"> - </t>
        </is>
      </c>
    </row>
    <row r="59">
      <c r="A59" t="inlineStr">
        <is>
          <t>PE</t>
        </is>
      </c>
      <c r="B59">
        <f>HYPERLINK("https://www.senado.gob.ar/parlamentario/comisiones/verExp/210.26/PE/AC","210")</f>
        <v/>
      </c>
      <c r="C59">
        <f>HYPERLINK("https://www.senado.gob.ar/parlamentario/comisiones/verExp/210.26/PE/AC","2026")</f>
        <v/>
      </c>
      <c r="D59" t="inlineStr">
        <is>
          <t>AC</t>
        </is>
      </c>
      <c r="E59" t="inlineStr">
        <is>
          <t>MENSAJE N° 199/26 QUE SOLICITA ACUERDO PARA DESIGNAR JUEZ DEL JUZGADO NACIONAL DE PRIMERA INSTANCIA EN LO COMERCIAL N° 23 DE LA CAPITAL FEDERAL, AL DR. JUAN PABLO ANGEL SALA.</t>
        </is>
      </c>
      <c r="G59" t="inlineStr">
        <is>
          <t xml:space="preserve"> 23 16/07/2026 -</t>
        </is>
      </c>
      <c r="J59" t="inlineStr">
        <is>
          <t xml:space="preserve"> 25/06/2026 -</t>
        </is>
      </c>
      <c r="L59" t="inlineStr">
        <is>
          <t xml:space="preserve"> 13/08/2026 -</t>
        </is>
      </c>
      <c r="M59" t="inlineStr">
        <is>
          <t xml:space="preserve"> 25/06/2026 -</t>
        </is>
      </c>
      <c r="N59" t="n">
        <v>71</v>
      </c>
      <c r="O59" t="inlineStr">
        <is>
          <t>DE ACUERDOS</t>
        </is>
      </c>
      <c r="P59" t="inlineStr">
        <is>
          <t>25/06/2026</t>
        </is>
      </c>
      <c r="Q59" t="inlineStr">
        <is>
          <t>13/08/2026</t>
        </is>
      </c>
      <c r="R59">
        <f>HYPERLINK("https://www.senado.gob.ar/parlamentario/parlamentaria/ordenDelDiaResultadoLink/2026/300"," 300 2026 AP -")</f>
        <v/>
      </c>
      <c r="S59" t="inlineStr">
        <is>
          <t xml:space="preserve">AP  27/08/2026            </t>
        </is>
      </c>
      <c r="T59" t="inlineStr">
        <is>
          <t xml:space="preserve"> - </t>
        </is>
      </c>
    </row>
    <row r="60">
      <c r="A60" t="inlineStr">
        <is>
          <t>PE</t>
        </is>
      </c>
      <c r="B60">
        <f>HYPERLINK("https://www.senado.gob.ar/parlamentario/comisiones/verExp/209.26/PE/AC","209")</f>
        <v/>
      </c>
      <c r="C60">
        <f>HYPERLINK("https://www.senado.gob.ar/parlamentario/comisiones/verExp/209.26/PE/AC","2026")</f>
        <v/>
      </c>
      <c r="D60" t="inlineStr">
        <is>
          <t>AC</t>
        </is>
      </c>
      <c r="E60" t="inlineStr">
        <is>
          <t>MENSAJE N° 198/26 QUE SOLICITA ACUERDO PARA DESIGNAR JUEZ DE CAMARA DEL TRIBUNAL ORAL EN LO CRIMINAL Y CORRECCIONAL N° 12 DE LA CAPITAL FEDERAL, AL DR. WALTER ALFREDO CAVASSA.</t>
        </is>
      </c>
      <c r="G60" t="inlineStr">
        <is>
          <t xml:space="preserve"> 23 16/07/2026 -</t>
        </is>
      </c>
      <c r="J60" t="inlineStr">
        <is>
          <t xml:space="preserve"> 25/06/2026 -</t>
        </is>
      </c>
      <c r="L60" t="inlineStr">
        <is>
          <t xml:space="preserve"> 13/08/2026 -</t>
        </is>
      </c>
      <c r="M60" t="inlineStr">
        <is>
          <t xml:space="preserve"> 25/06/2026 -</t>
        </is>
      </c>
      <c r="N60" t="n">
        <v>71</v>
      </c>
      <c r="O60" t="inlineStr">
        <is>
          <t>DE ACUERDOS</t>
        </is>
      </c>
      <c r="P60" t="inlineStr">
        <is>
          <t>25/06/2026</t>
        </is>
      </c>
      <c r="Q60" t="inlineStr">
        <is>
          <t>13/08/2026</t>
        </is>
      </c>
      <c r="R60">
        <f>HYPERLINK("https://www.senado.gob.ar/parlamentario/parlamentaria/ordenDelDiaResultadoLink/2026/299"," 299 2026 AP -")</f>
        <v/>
      </c>
      <c r="S60" t="inlineStr">
        <is>
          <t xml:space="preserve">AP  27/08/2026            </t>
        </is>
      </c>
      <c r="T60" t="inlineStr">
        <is>
          <t xml:space="preserve"> - </t>
        </is>
      </c>
    </row>
    <row r="61">
      <c r="A61" t="inlineStr">
        <is>
          <t>PE</t>
        </is>
      </c>
      <c r="B61">
        <f>HYPERLINK("https://www.senado.gob.ar/parlamentario/comisiones/verExp/208.26/PE/AC","208")</f>
        <v/>
      </c>
      <c r="C61">
        <f>HYPERLINK("https://www.senado.gob.ar/parlamentario/comisiones/verExp/208.26/PE/AC","2026")</f>
        <v/>
      </c>
      <c r="D61" t="inlineStr">
        <is>
          <t>AC</t>
        </is>
      </c>
      <c r="E61" t="inlineStr">
        <is>
          <t>MENSAJE N° 197/26 QUE SOLICITA ACUERDO PARA DESIGNAR FISCAL GENERAL ADJUNTO ANTE LA CAMARA NACIONAL DE APELACIONES DEL TRABAJO DE LA CAPITAL FEDERAL, AL DR. GERMAN HELVIO QUEIPO.</t>
        </is>
      </c>
      <c r="G61" t="inlineStr">
        <is>
          <t xml:space="preserve"> 23 16/07/2026 -</t>
        </is>
      </c>
      <c r="J61" t="inlineStr">
        <is>
          <t xml:space="preserve"> 25/06/2026 -</t>
        </is>
      </c>
      <c r="L61" t="inlineStr">
        <is>
          <t xml:space="preserve">  -</t>
        </is>
      </c>
      <c r="M61" t="inlineStr">
        <is>
          <t xml:space="preserve"> 25/06/2026 -</t>
        </is>
      </c>
      <c r="N61" t="n">
        <v>71</v>
      </c>
      <c r="O61" t="inlineStr">
        <is>
          <t>DE ACUERDOS</t>
        </is>
      </c>
      <c r="P61" t="inlineStr">
        <is>
          <t>25/06/2026</t>
        </is>
      </c>
      <c r="R61">
        <f>HYPERLINK("","")</f>
        <v/>
      </c>
      <c r="S61" t="inlineStr">
        <is>
          <t xml:space="preserve">              </t>
        </is>
      </c>
      <c r="T61" t="inlineStr">
        <is>
          <t xml:space="preserve"> - </t>
        </is>
      </c>
    </row>
    <row r="62">
      <c r="A62" t="inlineStr">
        <is>
          <t>PE</t>
        </is>
      </c>
      <c r="B62">
        <f>HYPERLINK("https://www.senado.gob.ar/parlamentario/comisiones/verExp/207.26/PE/AC","207")</f>
        <v/>
      </c>
      <c r="C62">
        <f>HYPERLINK("https://www.senado.gob.ar/parlamentario/comisiones/verExp/207.26/PE/AC","2026")</f>
        <v/>
      </c>
      <c r="D62" t="inlineStr">
        <is>
          <t>AC</t>
        </is>
      </c>
      <c r="E62" t="inlineStr">
        <is>
          <t>MENSAJE N° 196/26 QUE SOLICITA ACUERDO PARA DESIGNAR DEFENSORA PUBLICA OFICIAL ANTE EL JUZGADO FEDERAL DE PRIMERA INSTANCIA DE DOLORES, PROV. DE BUENOS AIRES, A LA DRA. PAULA INES LO GIOIA.</t>
        </is>
      </c>
      <c r="G62" t="inlineStr">
        <is>
          <t xml:space="preserve"> 23 16/07/2026 -</t>
        </is>
      </c>
      <c r="J62" t="inlineStr">
        <is>
          <t xml:space="preserve"> 25/06/2026 -</t>
        </is>
      </c>
      <c r="L62" t="inlineStr">
        <is>
          <t xml:space="preserve"> 19/08/2026 -</t>
        </is>
      </c>
      <c r="M62" t="inlineStr">
        <is>
          <t xml:space="preserve"> 25/06/2026 -</t>
        </is>
      </c>
      <c r="N62" t="n">
        <v>71</v>
      </c>
      <c r="O62" t="inlineStr">
        <is>
          <t>DE ACUERDOS</t>
        </is>
      </c>
      <c r="P62" t="inlineStr">
        <is>
          <t>25/06/2026</t>
        </is>
      </c>
      <c r="Q62" t="inlineStr">
        <is>
          <t>19/08/2026</t>
        </is>
      </c>
      <c r="R62">
        <f>HYPERLINK("https://www.senado.gob.ar/parlamentario/parlamentaria/ordenDelDiaResultadoLink/2026/311"," 311 2026 AP -")</f>
        <v/>
      </c>
      <c r="S62" t="inlineStr">
        <is>
          <t xml:space="preserve">AP  27/08/2026            </t>
        </is>
      </c>
      <c r="T62" t="inlineStr">
        <is>
          <t xml:space="preserve"> - </t>
        </is>
      </c>
    </row>
    <row r="63">
      <c r="A63" t="inlineStr">
        <is>
          <t>PE</t>
        </is>
      </c>
      <c r="B63">
        <f>HYPERLINK("https://www.senado.gob.ar/parlamentario/comisiones/verExp/206.26/PE/AC","206")</f>
        <v/>
      </c>
      <c r="C63">
        <f>HYPERLINK("https://www.senado.gob.ar/parlamentario/comisiones/verExp/206.26/PE/AC","2026")</f>
        <v/>
      </c>
      <c r="D63" t="inlineStr">
        <is>
          <t>AC</t>
        </is>
      </c>
      <c r="E63" t="inlineStr">
        <is>
          <t>MENSAJE N° 195/26 QUE SOLICITA ACUERDO PARA DESIGNAR DEFENSOR PUBLICO OFICIAL FEDERAL DEL INTERIOR DEL PAIS CON ASIENTO EN LA CDAD. DE SALTA, PROV. DE SALTA, AL DR. CARLOS NICOLAS ESCANDAR.</t>
        </is>
      </c>
      <c r="G63" t="inlineStr">
        <is>
          <t xml:space="preserve"> 23 16/07/2026 -</t>
        </is>
      </c>
      <c r="J63" t="inlineStr">
        <is>
          <t xml:space="preserve"> 25/06/2026 -</t>
        </is>
      </c>
      <c r="L63" t="inlineStr">
        <is>
          <t xml:space="preserve"> 19/08/2026 -</t>
        </is>
      </c>
      <c r="M63" t="inlineStr">
        <is>
          <t xml:space="preserve"> 25/06/2026 -</t>
        </is>
      </c>
      <c r="N63" t="n">
        <v>71</v>
      </c>
      <c r="O63" t="inlineStr">
        <is>
          <t>DE ACUERDOS</t>
        </is>
      </c>
      <c r="P63" t="inlineStr">
        <is>
          <t>25/06/2026</t>
        </is>
      </c>
      <c r="Q63" t="inlineStr">
        <is>
          <t>19/08/2026</t>
        </is>
      </c>
      <c r="R63">
        <f>HYPERLINK("https://www.senado.gob.ar/parlamentario/parlamentaria/ordenDelDiaResultadoLink/2026/310"," 310 2026 AP -")</f>
        <v/>
      </c>
      <c r="S63" t="inlineStr">
        <is>
          <t xml:space="preserve">AP  27/08/2026            </t>
        </is>
      </c>
      <c r="T63" t="inlineStr">
        <is>
          <t xml:space="preserve"> - </t>
        </is>
      </c>
    </row>
    <row r="64">
      <c r="A64" t="inlineStr">
        <is>
          <t>PE</t>
        </is>
      </c>
      <c r="B64">
        <f>HYPERLINK("https://www.senado.gob.ar/parlamentario/comisiones/verExp/205.26/PE/AC","205")</f>
        <v/>
      </c>
      <c r="C64">
        <f>HYPERLINK("https://www.senado.gob.ar/parlamentario/comisiones/verExp/205.26/PE/AC","2026")</f>
        <v/>
      </c>
      <c r="D64" t="inlineStr">
        <is>
          <t>AC</t>
        </is>
      </c>
      <c r="E64" t="inlineStr">
        <is>
          <t>MENSAJE N° 194/26 QUE SOLICITA ACUERDO PARA DESIGNAR VOCAL DE LA CAMARA FEDERAL DE APELACIONES DE CORDOBA, PROV. DE CORDOBA, SALA B, AL DR. FACUNDO CARLOS CORTES.</t>
        </is>
      </c>
      <c r="G64" t="inlineStr">
        <is>
          <t xml:space="preserve"> 23 16/07/2026 -</t>
        </is>
      </c>
      <c r="J64" t="inlineStr">
        <is>
          <t xml:space="preserve"> 25/06/2026 -</t>
        </is>
      </c>
      <c r="L64" t="inlineStr">
        <is>
          <t xml:space="preserve"> 19/08/2026 -</t>
        </is>
      </c>
      <c r="M64" t="inlineStr">
        <is>
          <t xml:space="preserve"> 25/06/2026 -</t>
        </is>
      </c>
      <c r="N64" t="n">
        <v>71</v>
      </c>
      <c r="O64" t="inlineStr">
        <is>
          <t>DE ACUERDOS</t>
        </is>
      </c>
      <c r="P64" t="inlineStr">
        <is>
          <t>25/06/2026</t>
        </is>
      </c>
      <c r="Q64" t="inlineStr">
        <is>
          <t>19/08/2026</t>
        </is>
      </c>
      <c r="R64">
        <f>HYPERLINK("https://www.senado.gob.ar/parlamentario/parlamentaria/ordenDelDiaResultadoLink/2026/309"," 309 2026 AP -")</f>
        <v/>
      </c>
      <c r="S64" t="inlineStr">
        <is>
          <t xml:space="preserve">AP  27/08/2026            </t>
        </is>
      </c>
      <c r="T64" t="inlineStr">
        <is>
          <t xml:space="preserve"> - </t>
        </is>
      </c>
    </row>
    <row r="65">
      <c r="A65" t="inlineStr">
        <is>
          <t>PE</t>
        </is>
      </c>
      <c r="B65">
        <f>HYPERLINK("https://www.senado.gob.ar/parlamentario/comisiones/verExp/204.26/PE/AC","204")</f>
        <v/>
      </c>
      <c r="C65">
        <f>HYPERLINK("https://www.senado.gob.ar/parlamentario/comisiones/verExp/204.26/PE/AC","2026")</f>
        <v/>
      </c>
      <c r="D65" t="inlineStr">
        <is>
          <t>AC</t>
        </is>
      </c>
      <c r="E65" t="inlineStr">
        <is>
          <t>MENSAJE N° 193/26 QUE SOLICITA ACUERDO PARA DESIGNAR VOCAL DE LA CAMARA NACIONAL DE APELACIONES EN LO COMERCIAL DE LA CAPITAL FEDERAL, SALA C, A LA DRA. VALERIA PÉREZ CASADO.</t>
        </is>
      </c>
      <c r="G65" t="inlineStr">
        <is>
          <t xml:space="preserve"> 23 16/07/2026 -</t>
        </is>
      </c>
      <c r="J65" t="inlineStr">
        <is>
          <t xml:space="preserve"> 25/06/2026 -</t>
        </is>
      </c>
      <c r="L65" t="inlineStr">
        <is>
          <t xml:space="preserve"> 13/08/2026 -</t>
        </is>
      </c>
      <c r="M65" t="inlineStr">
        <is>
          <t xml:space="preserve"> 25/06/2026 -</t>
        </is>
      </c>
      <c r="N65" t="n">
        <v>71</v>
      </c>
      <c r="O65" t="inlineStr">
        <is>
          <t>DE ACUERDOS</t>
        </is>
      </c>
      <c r="P65" t="inlineStr">
        <is>
          <t>25/06/2026</t>
        </is>
      </c>
      <c r="Q65" t="inlineStr">
        <is>
          <t>13/08/2026</t>
        </is>
      </c>
      <c r="R65">
        <f>HYPERLINK("https://www.senado.gob.ar/parlamentario/parlamentaria/ordenDelDiaResultadoLink/2026/298"," 298 2026 AP -")</f>
        <v/>
      </c>
      <c r="S65" t="inlineStr">
        <is>
          <t xml:space="preserve">AP  27/08/2026            </t>
        </is>
      </c>
      <c r="T65" t="inlineStr">
        <is>
          <t xml:space="preserve"> - </t>
        </is>
      </c>
    </row>
    <row r="66">
      <c r="A66" t="inlineStr">
        <is>
          <t>PE</t>
        </is>
      </c>
      <c r="B66">
        <f>HYPERLINK("https://www.senado.gob.ar/parlamentario/comisiones/verExp/203.26/PE/AC","203")</f>
        <v/>
      </c>
      <c r="C66">
        <f>HYPERLINK("https://www.senado.gob.ar/parlamentario/comisiones/verExp/203.26/PE/AC","2026")</f>
        <v/>
      </c>
      <c r="D66" t="inlineStr">
        <is>
          <t>AC</t>
        </is>
      </c>
      <c r="E66" t="inlineStr">
        <is>
          <t>MENSAJE N° 192/26 QUE SOLICITA ACUERDO PARA DESIGNAR JUEZ DEL JUZGADO NACIONAL EN LO CRIMINAL Y CORRECCIONAL N° 38 DE LA CAPITAL FEDERAL, AL DR. ADOLFO OMAR PIENDIBENE.</t>
        </is>
      </c>
      <c r="G66" t="inlineStr">
        <is>
          <t xml:space="preserve"> 23 16/07/2026 -</t>
        </is>
      </c>
      <c r="J66" t="inlineStr">
        <is>
          <t xml:space="preserve"> 25/06/2026 -</t>
        </is>
      </c>
      <c r="L66" t="inlineStr">
        <is>
          <t xml:space="preserve"> 13/08/2026 -</t>
        </is>
      </c>
      <c r="M66" t="inlineStr">
        <is>
          <t xml:space="preserve"> 25/06/2026 -</t>
        </is>
      </c>
      <c r="N66" t="n">
        <v>71</v>
      </c>
      <c r="O66" t="inlineStr">
        <is>
          <t>DE ACUERDOS</t>
        </is>
      </c>
      <c r="P66" t="inlineStr">
        <is>
          <t>25/06/2026</t>
        </is>
      </c>
      <c r="Q66" t="inlineStr">
        <is>
          <t>13/08/2026</t>
        </is>
      </c>
      <c r="R66">
        <f>HYPERLINK("https://www.senado.gob.ar/parlamentario/parlamentaria/ordenDelDiaResultadoLink/2026/297"," 297 2026 AP -")</f>
        <v/>
      </c>
      <c r="S66" t="inlineStr">
        <is>
          <t xml:space="preserve">AP  27/08/2026            </t>
        </is>
      </c>
      <c r="T66" t="inlineStr">
        <is>
          <t xml:space="preserve"> - </t>
        </is>
      </c>
    </row>
    <row r="67">
      <c r="A67" t="inlineStr">
        <is>
          <t>PE</t>
        </is>
      </c>
      <c r="B67">
        <f>HYPERLINK("https://www.senado.gob.ar/parlamentario/comisiones/verExp/202.26/PE/AC","202")</f>
        <v/>
      </c>
      <c r="C67">
        <f>HYPERLINK("https://www.senado.gob.ar/parlamentario/comisiones/verExp/202.26/PE/AC","2026")</f>
        <v/>
      </c>
      <c r="D67" t="inlineStr">
        <is>
          <t>AC</t>
        </is>
      </c>
      <c r="E67" t="inlineStr">
        <is>
          <t>MENSAJE N° 191/26 QUE SOLICITA ACUERDO PARA DESIGNAR JUEZ DEL JUZGADO NACIONAL EN LO CRIMINAL Y CORRECCIONAL N° 30 DE LA CAPITAL FEDERAL, AL DR. FEDERICO ALFREDO BATTILANA.</t>
        </is>
      </c>
      <c r="G67" t="inlineStr">
        <is>
          <t xml:space="preserve"> 23 16/07/2026 -</t>
        </is>
      </c>
      <c r="J67" t="inlineStr">
        <is>
          <t xml:space="preserve"> 25/06/2026 -</t>
        </is>
      </c>
      <c r="L67" t="inlineStr">
        <is>
          <t xml:space="preserve"> 13/08/2026 -</t>
        </is>
      </c>
      <c r="M67" t="inlineStr">
        <is>
          <t xml:space="preserve"> 25/06/2026 -</t>
        </is>
      </c>
      <c r="N67" t="n">
        <v>71</v>
      </c>
      <c r="O67" t="inlineStr">
        <is>
          <t>DE ACUERDOS</t>
        </is>
      </c>
      <c r="P67" t="inlineStr">
        <is>
          <t>25/06/2026</t>
        </is>
      </c>
      <c r="Q67" t="inlineStr">
        <is>
          <t>13/08/2026</t>
        </is>
      </c>
      <c r="R67">
        <f>HYPERLINK("https://www.senado.gob.ar/parlamentario/parlamentaria/ordenDelDiaResultadoLink/2026/296"," 296 2026 AP -")</f>
        <v/>
      </c>
      <c r="S67" t="inlineStr">
        <is>
          <t xml:space="preserve">AP  27/08/2026            </t>
        </is>
      </c>
      <c r="T67" t="inlineStr">
        <is>
          <t xml:space="preserve"> - </t>
        </is>
      </c>
    </row>
    <row r="68">
      <c r="A68" t="inlineStr">
        <is>
          <t>PE</t>
        </is>
      </c>
      <c r="B68">
        <f>HYPERLINK("https://www.senado.gob.ar/parlamentario/comisiones/verExp/195.26/PE/AC","195")</f>
        <v/>
      </c>
      <c r="C68">
        <f>HYPERLINK("https://www.senado.gob.ar/parlamentario/comisiones/verExp/195.26/PE/AC","2026")</f>
        <v/>
      </c>
      <c r="D68" t="inlineStr">
        <is>
          <t>AC</t>
        </is>
      </c>
      <c r="E68" t="inlineStr">
        <is>
          <t>MENSAJE N° 190/26 QUE SOLICITA ACUERDO PARA DESIGNAR VOCAL DE LA CAMARA FEDERAL DE APELACIONES DE SAN JUSTO, PROVINCIA DE BUENOS AIRES, AL DR. ANDRES GUILLERMO FRAGA.</t>
        </is>
      </c>
      <c r="G68" t="inlineStr">
        <is>
          <t xml:space="preserve"> 21 16/07/2026 -</t>
        </is>
      </c>
      <c r="J68" t="inlineStr">
        <is>
          <t xml:space="preserve"> 04/06/2026 -</t>
        </is>
      </c>
      <c r="L68" t="inlineStr">
        <is>
          <t xml:space="preserve"> 19/08/2026 -</t>
        </is>
      </c>
      <c r="M68" t="inlineStr">
        <is>
          <t xml:space="preserve"> 04/06/2026 -</t>
        </is>
      </c>
      <c r="N68" t="n">
        <v>71</v>
      </c>
      <c r="O68" t="inlineStr">
        <is>
          <t>DE ACUERDOS</t>
        </is>
      </c>
      <c r="P68" t="inlineStr">
        <is>
          <t>04/06/2026</t>
        </is>
      </c>
      <c r="Q68" t="inlineStr">
        <is>
          <t>19/08/2026</t>
        </is>
      </c>
      <c r="R68">
        <f>HYPERLINK("https://www.senado.gob.ar/parlamentario/parlamentaria/ordenDelDiaResultadoLink/2026/308"," 308 2026 AP -")</f>
        <v/>
      </c>
      <c r="S68" t="inlineStr">
        <is>
          <t xml:space="preserve">AP  27/08/2026            </t>
        </is>
      </c>
      <c r="T68" t="inlineStr">
        <is>
          <t xml:space="preserve"> - </t>
        </is>
      </c>
    </row>
    <row r="69">
      <c r="A69" t="inlineStr">
        <is>
          <t>PE</t>
        </is>
      </c>
      <c r="B69">
        <f>HYPERLINK("https://www.senado.gob.ar/parlamentario/comisiones/verExp/194.26/PE/AC","194")</f>
        <v/>
      </c>
      <c r="C69">
        <f>HYPERLINK("https://www.senado.gob.ar/parlamentario/comisiones/verExp/194.26/PE/AC","2026")</f>
        <v/>
      </c>
      <c r="D69" t="inlineStr">
        <is>
          <t>AC</t>
        </is>
      </c>
      <c r="E69" t="inlineStr">
        <is>
          <t>MENSAJE N° 188/26 QUE SOLICITA ACUERDO PARA DESIGNAR JUEZA DEL JUZGADO NACIONAL DE PRIMERA INSTANCIA EN LO CIVIL N° 69 DE LA CAPITAL FEDERAL, A LA DRA. KARINA GABRIELA RAPKINAS.</t>
        </is>
      </c>
      <c r="G69" t="inlineStr">
        <is>
          <t xml:space="preserve"> 21 16/07/2026 -</t>
        </is>
      </c>
      <c r="J69" t="inlineStr">
        <is>
          <t xml:space="preserve"> 04/06/2026 -</t>
        </is>
      </c>
      <c r="L69" t="inlineStr">
        <is>
          <t xml:space="preserve"> 13/08/2026 -</t>
        </is>
      </c>
      <c r="M69" t="inlineStr">
        <is>
          <t xml:space="preserve"> 04/06/2026 -</t>
        </is>
      </c>
      <c r="N69" t="n">
        <v>71</v>
      </c>
      <c r="O69" t="inlineStr">
        <is>
          <t>DE ACUERDOS</t>
        </is>
      </c>
      <c r="P69" t="inlineStr">
        <is>
          <t>04/06/2026</t>
        </is>
      </c>
      <c r="Q69" t="inlineStr">
        <is>
          <t>13/08/2026</t>
        </is>
      </c>
      <c r="R69">
        <f>HYPERLINK("https://www.senado.gob.ar/parlamentario/parlamentaria/ordenDelDiaResultadoLink/2026/295"," 295 2026 AP -")</f>
        <v/>
      </c>
      <c r="S69" t="inlineStr">
        <is>
          <t xml:space="preserve">AP  27/08/2026            </t>
        </is>
      </c>
      <c r="T69" t="inlineStr">
        <is>
          <t xml:space="preserve"> - </t>
        </is>
      </c>
    </row>
    <row r="70">
      <c r="A70" t="inlineStr">
        <is>
          <t>PE</t>
        </is>
      </c>
      <c r="B70">
        <f>HYPERLINK("https://www.senado.gob.ar/parlamentario/comisiones/verExp/192.26/PE/AC","192")</f>
        <v/>
      </c>
      <c r="C70">
        <f>HYPERLINK("https://www.senado.gob.ar/parlamentario/comisiones/verExp/192.26/PE/AC","2026")</f>
        <v/>
      </c>
      <c r="D70" t="inlineStr">
        <is>
          <t>AC</t>
        </is>
      </c>
      <c r="E70" t="inlineStr">
        <is>
          <t xml:space="preserve">MENSAJE N° 186/26, QUE SOLICITA EL RETIRO DEL MENSAJE Nº 42/26 POR EL CUAL SE SOLICITA ACUERDO PARA DESIGNAR JUEZA DE CAMARA DEL TRIBUNAL ORAL EN LO CRIMINAL FEDERAL N° 3 DE LA PLATA, PROVINCIA DE BUENOS AIRES, A LA DRA. MARIA VERONICA MICHELLI. 
(REF. P.E. 31/26)
</t>
        </is>
      </c>
      <c r="G70" t="inlineStr">
        <is>
          <t xml:space="preserve"> 20 04/06/2026 -</t>
        </is>
      </c>
      <c r="J70" t="inlineStr">
        <is>
          <t xml:space="preserve"> 27/05/2026 -</t>
        </is>
      </c>
      <c r="L70" t="inlineStr">
        <is>
          <t xml:space="preserve">  -</t>
        </is>
      </c>
      <c r="M70" t="inlineStr">
        <is>
          <t xml:space="preserve"> 28/05/2026 -</t>
        </is>
      </c>
      <c r="N70" t="n">
        <v>71</v>
      </c>
      <c r="O70" t="inlineStr">
        <is>
          <t>DE ACUERDOS</t>
        </is>
      </c>
      <c r="P70" t="inlineStr">
        <is>
          <t>28/05/2026</t>
        </is>
      </c>
      <c r="R70">
        <f>HYPERLINK("","")</f>
        <v/>
      </c>
      <c r="S70" t="inlineStr">
        <is>
          <t xml:space="preserve">              </t>
        </is>
      </c>
      <c r="T70" t="inlineStr">
        <is>
          <t xml:space="preserve"> - </t>
        </is>
      </c>
    </row>
    <row r="71">
      <c r="A71" t="inlineStr">
        <is>
          <t>PE</t>
        </is>
      </c>
      <c r="B71">
        <f>HYPERLINK("https://www.senado.gob.ar/parlamentario/comisiones/verExp/191.26/PE/AC","191")</f>
        <v/>
      </c>
      <c r="C71">
        <f>HYPERLINK("https://www.senado.gob.ar/parlamentario/comisiones/verExp/191.26/PE/AC","2026")</f>
        <v/>
      </c>
      <c r="D71" t="inlineStr">
        <is>
          <t>AC</t>
        </is>
      </c>
      <c r="E71" t="inlineStr">
        <is>
          <t xml:space="preserve">MENSAJE N° 185/26 QUE SOLICITA ACUERDO PARA DESIGNAR JUEZ DEL JUZGADO NACIONAL EN LO CRIMINAL Y CORRECCIONAL N° 27 DE LA CAPITAL FEDERAL, AL DR. MIGUEL ANGEL ASTURIAS
</t>
        </is>
      </c>
      <c r="G71" t="inlineStr">
        <is>
          <t xml:space="preserve"> 20 04/06/2026 -</t>
        </is>
      </c>
      <c r="J71" t="inlineStr">
        <is>
          <t xml:space="preserve"> 27/05/2026 -</t>
        </is>
      </c>
      <c r="L71" t="inlineStr">
        <is>
          <t xml:space="preserve"> 13/08/2026 -</t>
        </is>
      </c>
      <c r="M71" t="inlineStr">
        <is>
          <t xml:space="preserve"> 28/05/2026 -</t>
        </is>
      </c>
      <c r="N71" t="n">
        <v>71</v>
      </c>
      <c r="O71" t="inlineStr">
        <is>
          <t>DE ACUERDOS</t>
        </is>
      </c>
      <c r="P71" t="inlineStr">
        <is>
          <t>28/05/2026</t>
        </is>
      </c>
      <c r="Q71" t="inlineStr">
        <is>
          <t>13/08/2026</t>
        </is>
      </c>
      <c r="R71">
        <f>HYPERLINK("https://www.senado.gob.ar/parlamentario/parlamentaria/ordenDelDiaResultadoLink/2026/294"," 294 2026 AP -")</f>
        <v/>
      </c>
      <c r="S71" t="inlineStr">
        <is>
          <t xml:space="preserve">AP  27/08/2026            </t>
        </is>
      </c>
      <c r="T71" t="inlineStr">
        <is>
          <t xml:space="preserve"> - </t>
        </is>
      </c>
    </row>
    <row r="72">
      <c r="A72" t="inlineStr">
        <is>
          <t>PE</t>
        </is>
      </c>
      <c r="B72">
        <f>HYPERLINK("https://www.senado.gob.ar/parlamentario/comisiones/verExp/190.26/PE/AC","190")</f>
        <v/>
      </c>
      <c r="C72">
        <f>HYPERLINK("https://www.senado.gob.ar/parlamentario/comisiones/verExp/190.26/PE/AC","2026")</f>
        <v/>
      </c>
      <c r="D72" t="inlineStr">
        <is>
          <t>AC</t>
        </is>
      </c>
      <c r="E72" t="inlineStr">
        <is>
          <t>MENSAJE N° 184/26 QUE SOLICITA ACUERDO PARA DESIGNAR JUEZ DE CAMARA DEL TRIBUNAL ORAL EN LO CRIMINAL Y CORRECCIONAL N° 9 DE LA CAPITAL FEDERAL, AL DR. MARIANO ADOLFO KLUMPP</t>
        </is>
      </c>
      <c r="G72" t="inlineStr">
        <is>
          <t xml:space="preserve"> 20 04/06/2026 -</t>
        </is>
      </c>
      <c r="I72" t="inlineStr">
        <is>
          <t>04/08/2026</t>
        </is>
      </c>
      <c r="J72" t="inlineStr">
        <is>
          <t xml:space="preserve"> 27/05/2026 -</t>
        </is>
      </c>
      <c r="L72" t="inlineStr">
        <is>
          <t xml:space="preserve"> 01/07/2026 -</t>
        </is>
      </c>
      <c r="M72" t="inlineStr">
        <is>
          <t xml:space="preserve"> 28/05/2026 -</t>
        </is>
      </c>
      <c r="N72" t="n">
        <v>71</v>
      </c>
      <c r="O72" t="inlineStr">
        <is>
          <t>DE ACUERDOS</t>
        </is>
      </c>
      <c r="P72" t="inlineStr">
        <is>
          <t>28/05/2026</t>
        </is>
      </c>
      <c r="Q72" t="inlineStr">
        <is>
          <t>01/07/2026</t>
        </is>
      </c>
      <c r="R72">
        <f>HYPERLINK("https://www.senado.gob.ar/parlamentario/parlamentaria/ordenDelDiaResultadoLink/2026/219"," 219 2026 AP -")</f>
        <v/>
      </c>
      <c r="S72" t="inlineStr">
        <is>
          <t xml:space="preserve">AP  16/07/2026            </t>
        </is>
      </c>
      <c r="T72" t="inlineStr">
        <is>
          <t xml:space="preserve"> - </t>
        </is>
      </c>
      <c r="V72" t="inlineStr">
        <is>
          <t>04/08/2026</t>
        </is>
      </c>
    </row>
    <row r="73">
      <c r="A73" t="inlineStr">
        <is>
          <t>PE</t>
        </is>
      </c>
      <c r="B73">
        <f>HYPERLINK("https://www.senado.gob.ar/parlamentario/comisiones/verExp/189.26/PE/AC","189")</f>
        <v/>
      </c>
      <c r="C73">
        <f>HYPERLINK("https://www.senado.gob.ar/parlamentario/comisiones/verExp/189.26/PE/AC","2026")</f>
        <v/>
      </c>
      <c r="D73" t="inlineStr">
        <is>
          <t>AC</t>
        </is>
      </c>
      <c r="E73" t="inlineStr">
        <is>
          <t xml:space="preserve">MENSAJE N° 183/26 QUE SOLICITA ACUERDO PARA DESIGNAR JUEZ DEL JUZGADO NACIONAL EN LO CRIMINAL Y CORRECCIONAL N° 42 DE LA CAPITAL FEDERAL, AL DR. DIEGO ANDRES VILLANUEVA.  </t>
        </is>
      </c>
      <c r="G73" t="inlineStr">
        <is>
          <t xml:space="preserve"> 20 04/06/2026 -</t>
        </is>
      </c>
      <c r="J73" t="inlineStr">
        <is>
          <t xml:space="preserve"> 27/05/2026 -</t>
        </is>
      </c>
      <c r="L73" t="inlineStr">
        <is>
          <t xml:space="preserve"> 12/08/2026 -</t>
        </is>
      </c>
      <c r="M73" t="inlineStr">
        <is>
          <t xml:space="preserve"> 28/05/2026 -</t>
        </is>
      </c>
      <c r="N73" t="n">
        <v>71</v>
      </c>
      <c r="O73" t="inlineStr">
        <is>
          <t>DE ACUERDOS</t>
        </is>
      </c>
      <c r="P73" t="inlineStr">
        <is>
          <t>28/05/2026</t>
        </is>
      </c>
      <c r="Q73" t="inlineStr">
        <is>
          <t>12/08/2026</t>
        </is>
      </c>
      <c r="R73">
        <f>HYPERLINK("https://www.senado.gob.ar/parlamentario/parlamentaria/ordenDelDiaResultadoLink/2026/291"," 291 2026 AP -")</f>
        <v/>
      </c>
      <c r="S73" t="inlineStr">
        <is>
          <t xml:space="preserve">AP  27/08/2026            </t>
        </is>
      </c>
      <c r="T73" t="inlineStr">
        <is>
          <t xml:space="preserve"> - </t>
        </is>
      </c>
    </row>
    <row r="74">
      <c r="A74" t="inlineStr">
        <is>
          <t>PE</t>
        </is>
      </c>
      <c r="B74">
        <f>HYPERLINK("https://www.senado.gob.ar/parlamentario/comisiones/verExp/188.26/PE/AC","188")</f>
        <v/>
      </c>
      <c r="C74">
        <f>HYPERLINK("https://www.senado.gob.ar/parlamentario/comisiones/verExp/188.26/PE/AC","2026")</f>
        <v/>
      </c>
      <c r="D74" t="inlineStr">
        <is>
          <t>AC</t>
        </is>
      </c>
      <c r="E74" t="inlineStr">
        <is>
          <t>MENSAJE N° 182/26 QUE SOLICITA ACUERDO PARA DESIGNAR JUEZA DEL JUZGADO FEDERAL DE PRIMERA INSTANCIA DE LA SEGURIDAD SOCIAL N° 5 DE LA CAPITAL FEDERAL, A LA DRA. MARIA GABRIELA JANEIRO.</t>
        </is>
      </c>
      <c r="G74" t="inlineStr">
        <is>
          <t xml:space="preserve"> 20 04/06/2026 -</t>
        </is>
      </c>
      <c r="I74" t="inlineStr">
        <is>
          <t>04/08/2026</t>
        </is>
      </c>
      <c r="J74" t="inlineStr">
        <is>
          <t xml:space="preserve"> 27/05/2026 -</t>
        </is>
      </c>
      <c r="L74" t="inlineStr">
        <is>
          <t xml:space="preserve"> 01/07/2026 -</t>
        </is>
      </c>
      <c r="M74" t="inlineStr">
        <is>
          <t xml:space="preserve"> 28/05/2026 -</t>
        </is>
      </c>
      <c r="N74" t="n">
        <v>71</v>
      </c>
      <c r="O74" t="inlineStr">
        <is>
          <t>DE ACUERDOS</t>
        </is>
      </c>
      <c r="P74" t="inlineStr">
        <is>
          <t>28/05/2026</t>
        </is>
      </c>
      <c r="Q74" t="inlineStr">
        <is>
          <t>01/07/2026</t>
        </is>
      </c>
      <c r="R74">
        <f>HYPERLINK("https://www.senado.gob.ar/parlamentario/parlamentaria/ordenDelDiaResultadoLink/2026/218"," 218 2026 AP -")</f>
        <v/>
      </c>
      <c r="S74" t="inlineStr">
        <is>
          <t xml:space="preserve">AP  16/07/2026            </t>
        </is>
      </c>
      <c r="T74" t="inlineStr">
        <is>
          <t xml:space="preserve"> - </t>
        </is>
      </c>
      <c r="V74" t="inlineStr">
        <is>
          <t>04/08/2026</t>
        </is>
      </c>
    </row>
    <row r="75">
      <c r="A75" t="inlineStr">
        <is>
          <t>PE</t>
        </is>
      </c>
      <c r="B75">
        <f>HYPERLINK("https://www.senado.gob.ar/parlamentario/comisiones/verExp/183.26/PE/AC","183")</f>
        <v/>
      </c>
      <c r="C75">
        <f>HYPERLINK("https://www.senado.gob.ar/parlamentario/comisiones/verExp/183.26/PE/AC","2026")</f>
        <v/>
      </c>
      <c r="D75" t="inlineStr">
        <is>
          <t>AC</t>
        </is>
      </c>
      <c r="E75" t="inlineStr">
        <is>
          <t>MENSAJE N° 177/26 QUE SOLICITA ACUERDO PARA DESIGNAR JUEZ DE CAMARA DEL TRIBUNAL ORAL EN LO CRIMINAL Y CORRECCIONAL N° 14 DE LA CAPITAL FEDERAL, AL DR. JOSE IGNACIO POLIZZA.</t>
        </is>
      </c>
      <c r="G75" t="inlineStr">
        <is>
          <t xml:space="preserve"> 19 04/06/2026 -</t>
        </is>
      </c>
      <c r="I75" t="inlineStr">
        <is>
          <t>04/08/2026</t>
        </is>
      </c>
      <c r="J75" t="inlineStr">
        <is>
          <t xml:space="preserve"> 19/05/2026 -</t>
        </is>
      </c>
      <c r="L75" t="inlineStr">
        <is>
          <t xml:space="preserve"> 01/07/2026 -</t>
        </is>
      </c>
      <c r="M75" t="inlineStr">
        <is>
          <t xml:space="preserve"> 19/05/2026 -</t>
        </is>
      </c>
      <c r="N75" t="n">
        <v>71</v>
      </c>
      <c r="O75" t="inlineStr">
        <is>
          <t>DE ACUERDOS</t>
        </is>
      </c>
      <c r="P75" t="inlineStr">
        <is>
          <t>19/05/2026</t>
        </is>
      </c>
      <c r="Q75" t="inlineStr">
        <is>
          <t>01/07/2026</t>
        </is>
      </c>
      <c r="R75">
        <f>HYPERLINK("https://www.senado.gob.ar/parlamentario/parlamentaria/ordenDelDiaResultadoLink/2026/217"," 217 2026 AP -")</f>
        <v/>
      </c>
      <c r="S75" t="inlineStr">
        <is>
          <t xml:space="preserve">AP  16/07/2026            </t>
        </is>
      </c>
      <c r="T75" t="inlineStr">
        <is>
          <t xml:space="preserve"> - </t>
        </is>
      </c>
      <c r="V75" t="inlineStr">
        <is>
          <t>04/08/2026</t>
        </is>
      </c>
    </row>
    <row r="76">
      <c r="A76" t="inlineStr">
        <is>
          <t>PE</t>
        </is>
      </c>
      <c r="B76">
        <f>HYPERLINK("https://www.senado.gob.ar/parlamentario/comisiones/verExp/182.26/PE/AC","182")</f>
        <v/>
      </c>
      <c r="C76">
        <f>HYPERLINK("https://www.senado.gob.ar/parlamentario/comisiones/verExp/182.26/PE/AC","2026")</f>
        <v/>
      </c>
      <c r="D76" t="inlineStr">
        <is>
          <t>AC</t>
        </is>
      </c>
      <c r="E76" t="inlineStr">
        <is>
          <t>MENSAJE N° 176/26 QUE SOLICITA ACUERDO PARA DESIGNAR JUEZA DEL TRIBUNAL FEDERAL DE JUICIO DE COMODORO RIVADAVIA, PROV. DEL CHUBUT, A LA DRA. ANGELA CECILIA PAGANO MATA.</t>
        </is>
      </c>
      <c r="G76" t="inlineStr">
        <is>
          <t xml:space="preserve"> 19 04/06/2026 -</t>
        </is>
      </c>
      <c r="J76" t="inlineStr">
        <is>
          <t xml:space="preserve"> 19/05/2026 -</t>
        </is>
      </c>
      <c r="L76" t="inlineStr">
        <is>
          <t xml:space="preserve"> 05/08/2026 -</t>
        </is>
      </c>
      <c r="M76" t="inlineStr">
        <is>
          <t xml:space="preserve"> 19/05/2026 -</t>
        </is>
      </c>
      <c r="N76" t="n">
        <v>71</v>
      </c>
      <c r="O76" t="inlineStr">
        <is>
          <t>DE ACUERDOS</t>
        </is>
      </c>
      <c r="P76" t="inlineStr">
        <is>
          <t>19/05/2026</t>
        </is>
      </c>
      <c r="Q76" t="inlineStr">
        <is>
          <t>05/08/2026</t>
        </is>
      </c>
      <c r="R76">
        <f>HYPERLINK("https://www.senado.gob.ar/parlamentario/parlamentaria/ordenDelDiaResultadoLink/2026/254"," 254 2026 AP -")</f>
        <v/>
      </c>
      <c r="S76" t="inlineStr">
        <is>
          <t xml:space="preserve">AP  27/08/2026            </t>
        </is>
      </c>
      <c r="T76" t="inlineStr">
        <is>
          <t xml:space="preserve"> - </t>
        </is>
      </c>
    </row>
    <row r="77">
      <c r="A77" t="inlineStr">
        <is>
          <t>PE</t>
        </is>
      </c>
      <c r="B77">
        <f>HYPERLINK("https://www.senado.gob.ar/parlamentario/comisiones/verExp/181.26/PE/AC","181")</f>
        <v/>
      </c>
      <c r="C77">
        <f>HYPERLINK("https://www.senado.gob.ar/parlamentario/comisiones/verExp/181.26/PE/AC","2026")</f>
        <v/>
      </c>
      <c r="D77" t="inlineStr">
        <is>
          <t>AC</t>
        </is>
      </c>
      <c r="E77" t="inlineStr">
        <is>
          <t>MENSAJE N° 175/26 QUE SOLICITA ACUERDO PARA DESIGNAR JUEZ DEL JUZGADO NACIONAL EN LO CRIMINAL Y CORRECCIONAL N° 54 DE LA CAPITAL FEDERAL, AL DR. RAMIRO ARIEL MARIÑO.</t>
        </is>
      </c>
      <c r="G77" t="inlineStr">
        <is>
          <t xml:space="preserve"> 19 04/06/2026 -</t>
        </is>
      </c>
      <c r="J77" t="inlineStr">
        <is>
          <t xml:space="preserve"> 19/05/2026 -</t>
        </is>
      </c>
      <c r="L77" t="inlineStr">
        <is>
          <t xml:space="preserve"> 05/08/2026 -</t>
        </is>
      </c>
      <c r="M77" t="inlineStr">
        <is>
          <t xml:space="preserve"> 19/05/2026 -</t>
        </is>
      </c>
      <c r="N77" t="n">
        <v>71</v>
      </c>
      <c r="O77" t="inlineStr">
        <is>
          <t>DE ACUERDOS</t>
        </is>
      </c>
      <c r="P77" t="inlineStr">
        <is>
          <t>19/05/2026</t>
        </is>
      </c>
      <c r="Q77" t="inlineStr">
        <is>
          <t>05/08/2026</t>
        </is>
      </c>
      <c r="R77">
        <f>HYPERLINK("https://www.senado.gob.ar/parlamentario/parlamentaria/ordenDelDiaResultadoLink/2026/253"," 253 2026 AP -")</f>
        <v/>
      </c>
      <c r="S77" t="inlineStr">
        <is>
          <t xml:space="preserve">AP  27/08/2026            </t>
        </is>
      </c>
      <c r="T77" t="inlineStr">
        <is>
          <t xml:space="preserve"> - </t>
        </is>
      </c>
    </row>
    <row r="78">
      <c r="A78" t="inlineStr">
        <is>
          <t>PE</t>
        </is>
      </c>
      <c r="B78">
        <f>HYPERLINK("https://www.senado.gob.ar/parlamentario/comisiones/verExp/173.26/PE/AC","173")</f>
        <v/>
      </c>
      <c r="C78">
        <f>HYPERLINK("https://www.senado.gob.ar/parlamentario/comisiones/verExp/173.26/PE/AC","2026")</f>
        <v/>
      </c>
      <c r="D78" t="inlineStr">
        <is>
          <t>AC</t>
        </is>
      </c>
      <c r="E78" t="inlineStr">
        <is>
          <t>MENSAJE N° 174/26 QUE SOLICITA ACUERDO PARA DESIGNAR VOCAL DE LA CAMARA NACIONAL DE APELACIONES EN LO COMERCIAL DE LA CAPITAL FEDERAL, SALA C, AL DR. JAVIER JORGE COSENTINO.</t>
        </is>
      </c>
      <c r="G78" t="inlineStr">
        <is>
          <t xml:space="preserve"> 18 04/06/2026 -</t>
        </is>
      </c>
      <c r="I78" t="inlineStr">
        <is>
          <t>04/08/2026</t>
        </is>
      </c>
      <c r="J78" t="inlineStr">
        <is>
          <t xml:space="preserve"> 15/05/2026 -</t>
        </is>
      </c>
      <c r="L78" t="inlineStr">
        <is>
          <t xml:space="preserve"> 01/07/2026 -</t>
        </is>
      </c>
      <c r="M78" t="inlineStr">
        <is>
          <t xml:space="preserve"> 15/05/2026 -</t>
        </is>
      </c>
      <c r="N78" t="n">
        <v>71</v>
      </c>
      <c r="O78" t="inlineStr">
        <is>
          <t>DE ACUERDOS</t>
        </is>
      </c>
      <c r="P78" t="inlineStr">
        <is>
          <t>15/05/2026</t>
        </is>
      </c>
      <c r="Q78" t="inlineStr">
        <is>
          <t>01/07/2026</t>
        </is>
      </c>
      <c r="R78">
        <f>HYPERLINK("https://www.senado.gob.ar/parlamentario/parlamentaria/ordenDelDiaResultadoLink/2026/216"," 216 2026 AP -")</f>
        <v/>
      </c>
      <c r="S78" t="inlineStr">
        <is>
          <t xml:space="preserve">AP  16/07/2026            </t>
        </is>
      </c>
      <c r="T78" t="inlineStr">
        <is>
          <t xml:space="preserve"> - </t>
        </is>
      </c>
      <c r="V78" t="inlineStr">
        <is>
          <t>04/08/2026</t>
        </is>
      </c>
    </row>
    <row r="79">
      <c r="A79" t="inlineStr">
        <is>
          <t>PE</t>
        </is>
      </c>
      <c r="B79">
        <f>HYPERLINK("https://www.senado.gob.ar/parlamentario/comisiones/verExp/172.26/PE/AC","172")</f>
        <v/>
      </c>
      <c r="C79">
        <f>HYPERLINK("https://www.senado.gob.ar/parlamentario/comisiones/verExp/172.26/PE/AC","2026")</f>
        <v/>
      </c>
      <c r="D79" t="inlineStr">
        <is>
          <t>AC</t>
        </is>
      </c>
      <c r="E79" t="inlineStr">
        <is>
          <t>MENSAJE N° 173/26 QUE SOLICITA ACUERDO PARA DESIGNAR VOCAL DE LA CAMARA FEDERAL DE APELACIONES DE ROSARIO, PROV. DE SANTA FE, SALA A, AL DR. FLORENTINO MALAPONTE.</t>
        </is>
      </c>
      <c r="G79" t="inlineStr">
        <is>
          <t xml:space="preserve"> 18 04/06/2026 -</t>
        </is>
      </c>
      <c r="J79" t="inlineStr">
        <is>
          <t xml:space="preserve"> 15/05/2026 -</t>
        </is>
      </c>
      <c r="L79" t="inlineStr">
        <is>
          <t xml:space="preserve"> 05/08/2026 -</t>
        </is>
      </c>
      <c r="M79" t="inlineStr">
        <is>
          <t xml:space="preserve"> 15/05/2026 -</t>
        </is>
      </c>
      <c r="N79" t="n">
        <v>71</v>
      </c>
      <c r="O79" t="inlineStr">
        <is>
          <t>DE ACUERDOS</t>
        </is>
      </c>
      <c r="P79" t="inlineStr">
        <is>
          <t>15/05/2026</t>
        </is>
      </c>
      <c r="Q79" t="inlineStr">
        <is>
          <t>05/08/2026</t>
        </is>
      </c>
      <c r="R79">
        <f>HYPERLINK("https://www.senado.gob.ar/parlamentario/parlamentaria/ordenDelDiaResultadoLink/2026/252"," 252 2026 AP -")</f>
        <v/>
      </c>
      <c r="S79" t="inlineStr">
        <is>
          <t xml:space="preserve">AP  27/08/2026            </t>
        </is>
      </c>
      <c r="T79" t="inlineStr">
        <is>
          <t xml:space="preserve"> - </t>
        </is>
      </c>
    </row>
    <row r="80">
      <c r="A80" t="inlineStr">
        <is>
          <t>PE</t>
        </is>
      </c>
      <c r="B80">
        <f>HYPERLINK("https://www.senado.gob.ar/parlamentario/comisiones/verExp/171.26/PE/AC","171")</f>
        <v/>
      </c>
      <c r="C80">
        <f>HYPERLINK("https://www.senado.gob.ar/parlamentario/comisiones/verExp/171.26/PE/AC","2026")</f>
        <v/>
      </c>
      <c r="D80" t="inlineStr">
        <is>
          <t>AC</t>
        </is>
      </c>
      <c r="E80" t="inlineStr">
        <is>
          <t>MENSAJE N° 172/26 QUE SOLICITA ACUERDO PARA DESIGNAR JUEZA DE CAMARA DEL TRIBUNAL ORAL EN LO CRIMINAL FEDERAL DE CATAMARCA, PROV. DE CATAMARCA, A LA DRA. ANA MARIA BUSLEIMAN.</t>
        </is>
      </c>
      <c r="G80" t="inlineStr">
        <is>
          <t xml:space="preserve"> 17 14/05/2026 -</t>
        </is>
      </c>
      <c r="J80" t="inlineStr">
        <is>
          <t xml:space="preserve"> 14/05/2026 -</t>
        </is>
      </c>
      <c r="L80" t="inlineStr">
        <is>
          <t xml:space="preserve"> 05/08/2026 -</t>
        </is>
      </c>
      <c r="M80" t="inlineStr">
        <is>
          <t xml:space="preserve"> 14/05/2026 -</t>
        </is>
      </c>
      <c r="N80" t="n">
        <v>71</v>
      </c>
      <c r="O80" t="inlineStr">
        <is>
          <t>DE ACUERDOS</t>
        </is>
      </c>
      <c r="P80" t="inlineStr">
        <is>
          <t>14/05/2026</t>
        </is>
      </c>
      <c r="Q80" t="inlineStr">
        <is>
          <t>05/08/2026</t>
        </is>
      </c>
      <c r="R80">
        <f>HYPERLINK("https://www.senado.gob.ar/parlamentario/parlamentaria/ordenDelDiaResultadoLink/2026/251"," 251 2026 AP -")</f>
        <v/>
      </c>
      <c r="S80" t="inlineStr">
        <is>
          <t xml:space="preserve">AP  27/08/2026            </t>
        </is>
      </c>
      <c r="T80" t="inlineStr">
        <is>
          <t xml:space="preserve"> - </t>
        </is>
      </c>
    </row>
    <row r="81">
      <c r="A81" t="inlineStr">
        <is>
          <t>PE</t>
        </is>
      </c>
      <c r="B81">
        <f>HYPERLINK("https://www.senado.gob.ar/parlamentario/comisiones/verExp/170.26/PE/AC","170")</f>
        <v/>
      </c>
      <c r="C81">
        <f>HYPERLINK("https://www.senado.gob.ar/parlamentario/comisiones/verExp/170.26/PE/AC","2026")</f>
        <v/>
      </c>
      <c r="D81" t="inlineStr">
        <is>
          <t>AC</t>
        </is>
      </c>
      <c r="E81" t="inlineStr">
        <is>
          <t xml:space="preserve">MENSAJE N° 171/26 QUE SOLICITA ACUERDO PARA DESIGNAR JUEZ DEL TRIBUNAL FEDERAL DE JUICIO DE COMODORO RIVADAVIA, PROV. DEL CHUBUT, AL DR. SEBASTIAN PEDRO RUIZ.
</t>
        </is>
      </c>
      <c r="G81" t="inlineStr">
        <is>
          <t xml:space="preserve"> 17 14/05/2026 -</t>
        </is>
      </c>
      <c r="J81" t="inlineStr">
        <is>
          <t xml:space="preserve"> 14/05/2026 -</t>
        </is>
      </c>
      <c r="L81" t="inlineStr">
        <is>
          <t xml:space="preserve"> 05/08/2026 -</t>
        </is>
      </c>
      <c r="M81" t="inlineStr">
        <is>
          <t xml:space="preserve"> 14/05/2026 -</t>
        </is>
      </c>
      <c r="N81" t="n">
        <v>71</v>
      </c>
      <c r="O81" t="inlineStr">
        <is>
          <t>DE ACUERDOS</t>
        </is>
      </c>
      <c r="P81" t="inlineStr">
        <is>
          <t>14/05/2026</t>
        </is>
      </c>
      <c r="Q81" t="inlineStr">
        <is>
          <t>05/08/2026</t>
        </is>
      </c>
      <c r="R81">
        <f>HYPERLINK("https://www.senado.gob.ar/parlamentario/parlamentaria/ordenDelDiaResultadoLink/2026/250"," 250 2026 AP -")</f>
        <v/>
      </c>
      <c r="S81" t="inlineStr">
        <is>
          <t xml:space="preserve">AP  27/08/2026            </t>
        </is>
      </c>
      <c r="T81" t="inlineStr">
        <is>
          <t xml:space="preserve"> - </t>
        </is>
      </c>
    </row>
    <row r="82">
      <c r="A82" t="inlineStr">
        <is>
          <t>PE</t>
        </is>
      </c>
      <c r="B82">
        <f>HYPERLINK("https://www.senado.gob.ar/parlamentario/comisiones/verExp/168.26/PE/AC","168")</f>
        <v/>
      </c>
      <c r="C82">
        <f>HYPERLINK("https://www.senado.gob.ar/parlamentario/comisiones/verExp/168.26/PE/AC","2026")</f>
        <v/>
      </c>
      <c r="D82" t="inlineStr">
        <is>
          <t>AC</t>
        </is>
      </c>
      <c r="E82" t="inlineStr">
        <is>
          <t>MENSAJE N° 170/26 QUE SOLICITA ACUERDO PARA DESIGNAR FISCAL FEDERAL DE LA UNIDAD FISCAL MENDOZA, PROVINCIA DE MENDOZA, AL DR. FERNANDO GABRIEL ALCARAZ.</t>
        </is>
      </c>
      <c r="G82" t="inlineStr">
        <is>
          <t xml:space="preserve"> 16 14/05/2026 -</t>
        </is>
      </c>
      <c r="I82" t="inlineStr">
        <is>
          <t>04/08/2026</t>
        </is>
      </c>
      <c r="J82" t="inlineStr">
        <is>
          <t xml:space="preserve"> 13/05/2026 -</t>
        </is>
      </c>
      <c r="L82" t="inlineStr">
        <is>
          <t xml:space="preserve"> 01/07/2026 -</t>
        </is>
      </c>
      <c r="M82" t="inlineStr">
        <is>
          <t xml:space="preserve"> 13/05/2026 -</t>
        </is>
      </c>
      <c r="N82" t="n">
        <v>71</v>
      </c>
      <c r="O82" t="inlineStr">
        <is>
          <t>DE ACUERDOS</t>
        </is>
      </c>
      <c r="P82" t="inlineStr">
        <is>
          <t>13/05/2026</t>
        </is>
      </c>
      <c r="Q82" t="inlineStr">
        <is>
          <t>01/07/2026</t>
        </is>
      </c>
      <c r="R82">
        <f>HYPERLINK("https://www.senado.gob.ar/parlamentario/parlamentaria/ordenDelDiaResultadoLink/2026/215"," 215 2026 AP -")</f>
        <v/>
      </c>
      <c r="S82" t="inlineStr">
        <is>
          <t xml:space="preserve">AP  16/07/2026            </t>
        </is>
      </c>
      <c r="T82" t="inlineStr">
        <is>
          <t xml:space="preserve"> - </t>
        </is>
      </c>
      <c r="V82" t="inlineStr">
        <is>
          <t>04/08/2026</t>
        </is>
      </c>
    </row>
    <row r="83">
      <c r="A83" t="inlineStr">
        <is>
          <t>PE</t>
        </is>
      </c>
      <c r="B83">
        <f>HYPERLINK("https://www.senado.gob.ar/parlamentario/comisiones/verExp/167.26/PE/AC","167")</f>
        <v/>
      </c>
      <c r="C83">
        <f>HYPERLINK("https://www.senado.gob.ar/parlamentario/comisiones/verExp/167.26/PE/AC","2026")</f>
        <v/>
      </c>
      <c r="D83" t="inlineStr">
        <is>
          <t>AC</t>
        </is>
      </c>
      <c r="E83" t="inlineStr">
        <is>
          <t>MENSAJE N° 169/26 QUE SOLICITA ACUERDO PARA DESIGNAR JUEZ DEL JUZGADO NACIONAL EN LO CRIMINAL Y CORRECCIONAL N° 58 DE LA CAPITAL FEDERAL, AL DR. MAXIMILIANO ALBERTO LEANDRO CALLIZO.</t>
        </is>
      </c>
      <c r="G83" t="inlineStr">
        <is>
          <t xml:space="preserve"> 16 14/05/2026 -</t>
        </is>
      </c>
      <c r="J83" t="inlineStr">
        <is>
          <t xml:space="preserve"> 13/05/2026 -</t>
        </is>
      </c>
      <c r="L83" t="inlineStr">
        <is>
          <t xml:space="preserve"> 12/08/2026 -</t>
        </is>
      </c>
      <c r="M83" t="inlineStr">
        <is>
          <t xml:space="preserve"> 13/05/2026 -</t>
        </is>
      </c>
      <c r="N83" t="n">
        <v>71</v>
      </c>
      <c r="O83" t="inlineStr">
        <is>
          <t>DE ACUERDOS</t>
        </is>
      </c>
      <c r="P83" t="inlineStr">
        <is>
          <t>13/05/2026</t>
        </is>
      </c>
      <c r="Q83" t="inlineStr">
        <is>
          <t>12/08/2026</t>
        </is>
      </c>
      <c r="R83">
        <f>HYPERLINK("https://www.senado.gob.ar/parlamentario/parlamentaria/ordenDelDiaResultadoLink/2026/290"," 290 2026 AP -")</f>
        <v/>
      </c>
      <c r="S83" t="inlineStr">
        <is>
          <t xml:space="preserve">AP  27/08/2026            </t>
        </is>
      </c>
      <c r="T83" t="inlineStr">
        <is>
          <t xml:space="preserve"> - </t>
        </is>
      </c>
    </row>
    <row r="84">
      <c r="A84" t="inlineStr">
        <is>
          <t>PE</t>
        </is>
      </c>
      <c r="B84">
        <f>HYPERLINK("https://www.senado.gob.ar/parlamentario/comisiones/verExp/166.26/PE/AC","166")</f>
        <v/>
      </c>
      <c r="C84">
        <f>HYPERLINK("https://www.senado.gob.ar/parlamentario/comisiones/verExp/166.26/PE/AC","2026")</f>
        <v/>
      </c>
      <c r="D84" t="inlineStr">
        <is>
          <t>AC</t>
        </is>
      </c>
      <c r="E84" t="inlineStr">
        <is>
          <t xml:space="preserve">MENSAJE N° 168/26 QUE SOLICITA ACUERDO PARA DESIGNAR JUEZ DEL JUZGADO NACIONAL EN LO CRIMINAL Y CORRECCIONAL N° 44 DE LA CAPITAL FEDERAL, AL DR. SERGIO ALEJANDRO ECHEGARAY.
</t>
        </is>
      </c>
      <c r="G84" t="inlineStr">
        <is>
          <t xml:space="preserve"> 16 14/05/2026 -</t>
        </is>
      </c>
      <c r="J84" t="inlineStr">
        <is>
          <t xml:space="preserve"> 13/05/2026 -</t>
        </is>
      </c>
      <c r="L84" t="inlineStr">
        <is>
          <t xml:space="preserve"> 12/08/2026 -</t>
        </is>
      </c>
      <c r="M84" t="inlineStr">
        <is>
          <t xml:space="preserve"> 13/05/2026 -</t>
        </is>
      </c>
      <c r="N84" t="n">
        <v>71</v>
      </c>
      <c r="O84" t="inlineStr">
        <is>
          <t>DE ACUERDOS</t>
        </is>
      </c>
      <c r="P84" t="inlineStr">
        <is>
          <t>13/05/2026</t>
        </is>
      </c>
      <c r="Q84" t="inlineStr">
        <is>
          <t>12/08/2026</t>
        </is>
      </c>
      <c r="R84">
        <f>HYPERLINK("https://www.senado.gob.ar/parlamentario/parlamentaria/ordenDelDiaResultadoLink/2026/289"," 289 2026 AP -")</f>
        <v/>
      </c>
      <c r="S84" t="inlineStr">
        <is>
          <t xml:space="preserve">AP  27/08/2026            </t>
        </is>
      </c>
      <c r="T84" t="inlineStr">
        <is>
          <t xml:space="preserve"> - </t>
        </is>
      </c>
    </row>
    <row r="85">
      <c r="A85" t="inlineStr">
        <is>
          <t>PE</t>
        </is>
      </c>
      <c r="B85">
        <f>HYPERLINK("https://www.senado.gob.ar/parlamentario/comisiones/verExp/165.26/PE/AC","165")</f>
        <v/>
      </c>
      <c r="C85">
        <f>HYPERLINK("https://www.senado.gob.ar/parlamentario/comisiones/verExp/165.26/PE/AC","2026")</f>
        <v/>
      </c>
      <c r="D85" t="inlineStr">
        <is>
          <t>AC</t>
        </is>
      </c>
      <c r="E85" t="inlineStr">
        <is>
          <t>MENSAJE N° 167/26 QUE SOLICITA ACUERDO PARA DESIGNAR VOCAL DE LA CAMARA NACIONAL DE APELACIONES EN LO CIVIL DE LA CAPITAL FEDERAL, SALA K, AL DR. JUAN MANUEL CABRAL</t>
        </is>
      </c>
      <c r="G85" t="inlineStr">
        <is>
          <t xml:space="preserve"> 16 14/05/2026 -</t>
        </is>
      </c>
      <c r="J85" t="inlineStr">
        <is>
          <t xml:space="preserve"> 13/05/2026 -</t>
        </is>
      </c>
      <c r="L85" t="inlineStr">
        <is>
          <t xml:space="preserve"> 12/08/2026 -</t>
        </is>
      </c>
      <c r="M85" t="inlineStr">
        <is>
          <t xml:space="preserve"> 13/05/2026 -</t>
        </is>
      </c>
      <c r="N85" t="n">
        <v>71</v>
      </c>
      <c r="O85" t="inlineStr">
        <is>
          <t>DE ACUERDOS</t>
        </is>
      </c>
      <c r="P85" t="inlineStr">
        <is>
          <t>13/05/2026</t>
        </is>
      </c>
      <c r="Q85" t="inlineStr">
        <is>
          <t>12/08/2026</t>
        </is>
      </c>
      <c r="R85">
        <f>HYPERLINK("https://www.senado.gob.ar/parlamentario/parlamentaria/ordenDelDiaResultadoLink/2026/288"," 288 2026 AP -")</f>
        <v/>
      </c>
      <c r="S85" t="inlineStr">
        <is>
          <t xml:space="preserve">AP  27/08/2026            </t>
        </is>
      </c>
      <c r="T85" t="inlineStr">
        <is>
          <t xml:space="preserve"> - </t>
        </is>
      </c>
    </row>
    <row r="86">
      <c r="A86" t="inlineStr">
        <is>
          <t>PE</t>
        </is>
      </c>
      <c r="B86">
        <f>HYPERLINK("https://www.senado.gob.ar/parlamentario/comisiones/verExp/164.26/PE/AC","164")</f>
        <v/>
      </c>
      <c r="C86">
        <f>HYPERLINK("https://www.senado.gob.ar/parlamentario/comisiones/verExp/164.26/PE/AC","2026")</f>
        <v/>
      </c>
      <c r="D86" t="inlineStr">
        <is>
          <t>AC</t>
        </is>
      </c>
      <c r="E86" t="inlineStr">
        <is>
          <t>MENSAJE N° 166/26 QUE SOLICITA ACUERDO PARA DESIGNAR JUEZA DE CAMARA DEL TRIBUNAL ORAL EN LO CRIMINAL Y CORRECCIONAL N° 19 DE LA CAPITAL FEDERAL, A LA DRA. ALBERTINA ANATONIA CARON.</t>
        </is>
      </c>
      <c r="G86" t="inlineStr">
        <is>
          <t xml:space="preserve"> 16 14/05/2026 -</t>
        </is>
      </c>
      <c r="J86" t="inlineStr">
        <is>
          <t xml:space="preserve"> 13/05/2026 -</t>
        </is>
      </c>
      <c r="L86" t="inlineStr">
        <is>
          <t xml:space="preserve"> 06/08/2026 -</t>
        </is>
      </c>
      <c r="M86" t="inlineStr">
        <is>
          <t xml:space="preserve"> 13/05/2026 -</t>
        </is>
      </c>
      <c r="N86" t="n">
        <v>71</v>
      </c>
      <c r="O86" t="inlineStr">
        <is>
          <t>DE ACUERDOS</t>
        </is>
      </c>
      <c r="P86" t="inlineStr">
        <is>
          <t>13/05/2026</t>
        </is>
      </c>
      <c r="Q86" t="inlineStr">
        <is>
          <t>06/08/2026</t>
        </is>
      </c>
      <c r="R86">
        <f>HYPERLINK("https://www.senado.gob.ar/parlamentario/parlamentaria/ordenDelDiaResultadoLink/2026/270"," 270 2026 AP -")</f>
        <v/>
      </c>
      <c r="S86" t="inlineStr">
        <is>
          <t xml:space="preserve">AP  27/08/2026            </t>
        </is>
      </c>
      <c r="T86" t="inlineStr">
        <is>
          <t xml:space="preserve"> - </t>
        </is>
      </c>
    </row>
    <row r="87">
      <c r="A87" t="inlineStr">
        <is>
          <t>PE</t>
        </is>
      </c>
      <c r="B87">
        <f>HYPERLINK("https://www.senado.gob.ar/parlamentario/comisiones/verExp/163.26/PE/AC","163")</f>
        <v/>
      </c>
      <c r="C87">
        <f>HYPERLINK("https://www.senado.gob.ar/parlamentario/comisiones/verExp/163.26/PE/AC","2026")</f>
        <v/>
      </c>
      <c r="D87" t="inlineStr">
        <is>
          <t>AC</t>
        </is>
      </c>
      <c r="E87" t="inlineStr">
        <is>
          <t>MENSAJE N° 165/26 QUE SOLICITA ACUERDO PARA DESIGNAR JUEZ DEL JUZGADO NACIONAL DE PRIMERA INSTANCIA EN LO COMERCIAL N° 28 DE LA CAPITAL FEDERAL, AL DR. PEDRO MANUEL CRESPO.</t>
        </is>
      </c>
      <c r="G87" t="inlineStr">
        <is>
          <t xml:space="preserve"> 16 14/05/2026 -</t>
        </is>
      </c>
      <c r="I87" t="inlineStr">
        <is>
          <t>04/08/2026</t>
        </is>
      </c>
      <c r="J87" t="inlineStr">
        <is>
          <t xml:space="preserve"> 13/05/2026 -</t>
        </is>
      </c>
      <c r="L87" t="inlineStr">
        <is>
          <t xml:space="preserve"> 01/07/2026 -</t>
        </is>
      </c>
      <c r="M87" t="inlineStr">
        <is>
          <t xml:space="preserve"> 13/05/2026 -</t>
        </is>
      </c>
      <c r="N87" t="n">
        <v>71</v>
      </c>
      <c r="O87" t="inlineStr">
        <is>
          <t>DE ACUERDOS</t>
        </is>
      </c>
      <c r="P87" t="inlineStr">
        <is>
          <t>13/05/2026</t>
        </is>
      </c>
      <c r="Q87" t="inlineStr">
        <is>
          <t>01/07/2026</t>
        </is>
      </c>
      <c r="R87">
        <f>HYPERLINK("https://www.senado.gob.ar/parlamentario/parlamentaria/ordenDelDiaResultadoLink/2026/214"," 214 2026 AP -")</f>
        <v/>
      </c>
      <c r="S87" t="inlineStr">
        <is>
          <t xml:space="preserve">AP  16/07/2026            </t>
        </is>
      </c>
      <c r="T87" t="inlineStr">
        <is>
          <t xml:space="preserve"> - </t>
        </is>
      </c>
      <c r="V87" t="inlineStr">
        <is>
          <t>04/08/2026</t>
        </is>
      </c>
    </row>
    <row r="88">
      <c r="A88" t="inlineStr">
        <is>
          <t>PE</t>
        </is>
      </c>
      <c r="B88">
        <f>HYPERLINK("https://www.senado.gob.ar/parlamentario/comisiones/verExp/162.26/PE/AC","162")</f>
        <v/>
      </c>
      <c r="C88">
        <f>HYPERLINK("https://www.senado.gob.ar/parlamentario/comisiones/verExp/162.26/PE/AC","2026")</f>
        <v/>
      </c>
      <c r="D88" t="inlineStr">
        <is>
          <t>AC</t>
        </is>
      </c>
      <c r="E88" t="inlineStr">
        <is>
          <t xml:space="preserve">MENSAJE N° 164/26 QUE SOLICITA ACUERDO PARA DESIGNAR JUEZ DEL JUZGADO NACIONAL EN LO CRIMINAL Y CORRECCIONAL N° 45 DE LA CAPITAL FEDERAL, AL DR. SEBASTIAN RODRIGO GHERSI.
</t>
        </is>
      </c>
      <c r="G88" t="inlineStr">
        <is>
          <t xml:space="preserve"> 16 14/05/2026 -</t>
        </is>
      </c>
      <c r="J88" t="inlineStr">
        <is>
          <t xml:space="preserve"> 13/05/2026 -</t>
        </is>
      </c>
      <c r="L88" t="inlineStr">
        <is>
          <t xml:space="preserve"> 12/08/2026 -</t>
        </is>
      </c>
      <c r="M88" t="inlineStr">
        <is>
          <t xml:space="preserve"> 13/05/2026 -</t>
        </is>
      </c>
      <c r="N88" t="n">
        <v>71</v>
      </c>
      <c r="O88" t="inlineStr">
        <is>
          <t>DE ACUERDOS</t>
        </is>
      </c>
      <c r="P88" t="inlineStr">
        <is>
          <t>13/05/2026</t>
        </is>
      </c>
      <c r="Q88" t="inlineStr">
        <is>
          <t>12/08/2026</t>
        </is>
      </c>
      <c r="R88">
        <f>HYPERLINK("https://www.senado.gob.ar/parlamentario/parlamentaria/ordenDelDiaResultadoLink/2026/287"," 287 2026 AP -")</f>
        <v/>
      </c>
      <c r="S88" t="inlineStr">
        <is>
          <t xml:space="preserve">AP  27/08/2026            </t>
        </is>
      </c>
      <c r="T88" t="inlineStr">
        <is>
          <t xml:space="preserve"> - </t>
        </is>
      </c>
    </row>
    <row r="89">
      <c r="A89" t="inlineStr">
        <is>
          <t>PE</t>
        </is>
      </c>
      <c r="B89">
        <f>HYPERLINK("https://www.senado.gob.ar/parlamentario/comisiones/verExp/161.26/PE/AC","161")</f>
        <v/>
      </c>
      <c r="C89">
        <f>HYPERLINK("https://www.senado.gob.ar/parlamentario/comisiones/verExp/161.26/PE/AC","2026")</f>
        <v/>
      </c>
      <c r="D89" t="inlineStr">
        <is>
          <t>AC</t>
        </is>
      </c>
      <c r="E89" t="inlineStr">
        <is>
          <t>MENSAJE N° 163/26 QUE SOLICITA ACUERDO PARA DESIGNAR FISCAL FEDERAL DE LA UNIDAD FISCAL DE RESISTENCIA, PROVINCIA DEL CHACO, AL DR. PATRICIO NICOLAS SABADINI.</t>
        </is>
      </c>
      <c r="G89" t="inlineStr">
        <is>
          <t xml:space="preserve"> 16 14/05/2026 -</t>
        </is>
      </c>
      <c r="I89" t="inlineStr">
        <is>
          <t>04/08/2026</t>
        </is>
      </c>
      <c r="J89" t="inlineStr">
        <is>
          <t xml:space="preserve"> 13/05/2026 -</t>
        </is>
      </c>
      <c r="L89" t="inlineStr">
        <is>
          <t xml:space="preserve"> 01/07/2026 -</t>
        </is>
      </c>
      <c r="M89" t="inlineStr">
        <is>
          <t xml:space="preserve"> 13/05/2026 -</t>
        </is>
      </c>
      <c r="N89" t="n">
        <v>71</v>
      </c>
      <c r="O89" t="inlineStr">
        <is>
          <t>DE ACUERDOS</t>
        </is>
      </c>
      <c r="P89" t="inlineStr">
        <is>
          <t>13/05/2026</t>
        </is>
      </c>
      <c r="Q89" t="inlineStr">
        <is>
          <t>01/07/2026</t>
        </is>
      </c>
      <c r="R89">
        <f>HYPERLINK("https://www.senado.gob.ar/parlamentario/parlamentaria/ordenDelDiaResultadoLink/2026/213"," 213 2026 AP -")</f>
        <v/>
      </c>
      <c r="S89" t="inlineStr">
        <is>
          <t xml:space="preserve">AP  16/07/2026            </t>
        </is>
      </c>
      <c r="T89" t="inlineStr">
        <is>
          <t xml:space="preserve"> - </t>
        </is>
      </c>
      <c r="V89" t="inlineStr">
        <is>
          <t>04/08/2026</t>
        </is>
      </c>
    </row>
    <row r="90">
      <c r="A90" t="inlineStr">
        <is>
          <t>PE</t>
        </is>
      </c>
      <c r="B90">
        <f>HYPERLINK("https://www.senado.gob.ar/parlamentario/comisiones/verExp/160.26/PE/AC","160")</f>
        <v/>
      </c>
      <c r="C90">
        <f>HYPERLINK("https://www.senado.gob.ar/parlamentario/comisiones/verExp/160.26/PE/AC","2026")</f>
        <v/>
      </c>
      <c r="D90" t="inlineStr">
        <is>
          <t>AC</t>
        </is>
      </c>
      <c r="E90" t="inlineStr">
        <is>
          <t xml:space="preserve">MENSAJE N° 162/26 QUE SOLICITA ACUERDO PARA DESIGNAR VOCAL DE LA CAMARA FEDERAL DE APELACIONES DE MAR DEL PLATA, PROV. DE BUENOS AIRES, AL DR. SANTIAGO JOSE MARTIN.
</t>
        </is>
      </c>
      <c r="G90" t="inlineStr">
        <is>
          <t xml:space="preserve"> 16 14/05/2026 -</t>
        </is>
      </c>
      <c r="I90" t="inlineStr">
        <is>
          <t>04/08/2026</t>
        </is>
      </c>
      <c r="J90" t="inlineStr">
        <is>
          <t xml:space="preserve"> 13/05/2026 -</t>
        </is>
      </c>
      <c r="L90" t="inlineStr">
        <is>
          <t xml:space="preserve"> 01/07/2026 -</t>
        </is>
      </c>
      <c r="M90" t="inlineStr">
        <is>
          <t xml:space="preserve"> 13/05/2026 -</t>
        </is>
      </c>
      <c r="N90" t="n">
        <v>71</v>
      </c>
      <c r="O90" t="inlineStr">
        <is>
          <t>DE ACUERDOS</t>
        </is>
      </c>
      <c r="P90" t="inlineStr">
        <is>
          <t>13/05/2026</t>
        </is>
      </c>
      <c r="Q90" t="inlineStr">
        <is>
          <t>01/07/2026</t>
        </is>
      </c>
      <c r="R90">
        <f>HYPERLINK("https://www.senado.gob.ar/parlamentario/parlamentaria/ordenDelDiaResultadoLink/2026/212"," 212 2026 AP -")</f>
        <v/>
      </c>
      <c r="S90" t="inlineStr">
        <is>
          <t xml:space="preserve">AP  16/07/2026            </t>
        </is>
      </c>
      <c r="T90" t="inlineStr">
        <is>
          <t xml:space="preserve"> - </t>
        </is>
      </c>
      <c r="V90" t="inlineStr">
        <is>
          <t>04/08/2026</t>
        </is>
      </c>
    </row>
    <row r="91">
      <c r="A91" t="inlineStr">
        <is>
          <t>PE</t>
        </is>
      </c>
      <c r="B91">
        <f>HYPERLINK("https://www.senado.gob.ar/parlamentario/comisiones/verExp/159.26/PE/AC","159")</f>
        <v/>
      </c>
      <c r="C91">
        <f>HYPERLINK("https://www.senado.gob.ar/parlamentario/comisiones/verExp/159.26/PE/AC","2026")</f>
        <v/>
      </c>
      <c r="D91" t="inlineStr">
        <is>
          <t>AC</t>
        </is>
      </c>
      <c r="E91" t="inlineStr">
        <is>
          <t>MENSAJE N° 161/26 QUE SOLICITA ACUERDO PARA DESIGNAR VOCAL DE LA CAMARA FEDERAL DE APELACIONES DE SALTA, PROV. DE SALTA, SALA I, AL DR. SANTIAGO FRENCH.</t>
        </is>
      </c>
      <c r="G91" t="inlineStr">
        <is>
          <t xml:space="preserve"> 16 14/05/2026 -</t>
        </is>
      </c>
      <c r="I91" t="inlineStr">
        <is>
          <t>04/08/2026</t>
        </is>
      </c>
      <c r="J91" t="inlineStr">
        <is>
          <t xml:space="preserve"> 13/05/2026 -</t>
        </is>
      </c>
      <c r="L91" t="inlineStr">
        <is>
          <t xml:space="preserve"> 01/07/2026 -</t>
        </is>
      </c>
      <c r="M91" t="inlineStr">
        <is>
          <t xml:space="preserve"> 13/05/2026 -</t>
        </is>
      </c>
      <c r="N91" t="n">
        <v>71</v>
      </c>
      <c r="O91" t="inlineStr">
        <is>
          <t>DE ACUERDOS</t>
        </is>
      </c>
      <c r="P91" t="inlineStr">
        <is>
          <t>13/05/2026</t>
        </is>
      </c>
      <c r="Q91" t="inlineStr">
        <is>
          <t>01/07/2026</t>
        </is>
      </c>
      <c r="R91">
        <f>HYPERLINK("https://www.senado.gob.ar/parlamentario/parlamentaria/ordenDelDiaResultadoLink/2026/211"," 211 2026 AP -")</f>
        <v/>
      </c>
      <c r="S91" t="inlineStr">
        <is>
          <t xml:space="preserve">AP  16/07/2026            </t>
        </is>
      </c>
      <c r="T91" t="inlineStr">
        <is>
          <t xml:space="preserve"> - </t>
        </is>
      </c>
      <c r="V91" t="inlineStr">
        <is>
          <t>04/08/2026</t>
        </is>
      </c>
    </row>
    <row r="92">
      <c r="A92" t="inlineStr">
        <is>
          <t>PE</t>
        </is>
      </c>
      <c r="B92">
        <f>HYPERLINK("https://www.senado.gob.ar/parlamentario/comisiones/verExp/158.26/PE/AC","158")</f>
        <v/>
      </c>
      <c r="C92">
        <f>HYPERLINK("https://www.senado.gob.ar/parlamentario/comisiones/verExp/158.26/PE/AC","2026")</f>
        <v/>
      </c>
      <c r="D92" t="inlineStr">
        <is>
          <t>AC</t>
        </is>
      </c>
      <c r="E92" t="inlineStr">
        <is>
          <t>MENSAJE N° 160/26 QUE SOLICITA ACUERDO PARA DESIGNAR DEFENSORA PUBLICA OFICIAL ANTE LOS TRIBUNALES ORALES EN LO CRIMINAL Y CORRECCIONAL DE LA CAPITAL FEDERAL, DEFENSORIA N° 7, A LA DRA. AMANDA ESPINO.</t>
        </is>
      </c>
      <c r="G92" t="inlineStr">
        <is>
          <t xml:space="preserve"> 16 14/05/2026 -</t>
        </is>
      </c>
      <c r="I92" t="inlineStr">
        <is>
          <t>04/08/2026</t>
        </is>
      </c>
      <c r="J92" t="inlineStr">
        <is>
          <t xml:space="preserve"> 13/05/2026 -</t>
        </is>
      </c>
      <c r="L92" t="inlineStr">
        <is>
          <t xml:space="preserve"> 01/07/2026 -</t>
        </is>
      </c>
      <c r="M92" t="inlineStr">
        <is>
          <t xml:space="preserve"> 13/05/2026 -</t>
        </is>
      </c>
      <c r="N92" t="n">
        <v>71</v>
      </c>
      <c r="O92" t="inlineStr">
        <is>
          <t>DE ACUERDOS</t>
        </is>
      </c>
      <c r="P92" t="inlineStr">
        <is>
          <t>13/05/2026</t>
        </is>
      </c>
      <c r="Q92" t="inlineStr">
        <is>
          <t>01/07/2026</t>
        </is>
      </c>
      <c r="R92">
        <f>HYPERLINK("https://www.senado.gob.ar/parlamentario/parlamentaria/ordenDelDiaResultadoLink/2026/210"," 210 2026 AP -")</f>
        <v/>
      </c>
      <c r="S92" t="inlineStr">
        <is>
          <t xml:space="preserve">AP  16/07/2026            </t>
        </is>
      </c>
      <c r="T92" t="inlineStr">
        <is>
          <t xml:space="preserve"> - </t>
        </is>
      </c>
      <c r="V92" t="inlineStr">
        <is>
          <t>04/08/2026</t>
        </is>
      </c>
    </row>
    <row r="93">
      <c r="A93" t="inlineStr">
        <is>
          <t>PE</t>
        </is>
      </c>
      <c r="B93">
        <f>HYPERLINK("https://www.senado.gob.ar/parlamentario/comisiones/verExp/157.26/PE/AC","157")</f>
        <v/>
      </c>
      <c r="C93">
        <f>HYPERLINK("https://www.senado.gob.ar/parlamentario/comisiones/verExp/157.26/PE/AC","2026")</f>
        <v/>
      </c>
      <c r="D93" t="inlineStr">
        <is>
          <t>AC</t>
        </is>
      </c>
      <c r="E93" t="inlineStr">
        <is>
          <t>MENSAJE N° 159/26 QUE SOLICITA ACUERDO PARA DESIGNAR JUEZA DE CAMARA DEL TRIBUNAL ORAL EN LO CRIMINAL Y CORRECCIONAL N° 18 DE LA CAPITAL FEDERAL, A LA DRA. EVANGELINA MARIA LASALA.</t>
        </is>
      </c>
      <c r="G93" t="inlineStr">
        <is>
          <t xml:space="preserve"> 16 14/05/2026 -</t>
        </is>
      </c>
      <c r="J93" t="inlineStr">
        <is>
          <t xml:space="preserve"> 13/05/2026 -</t>
        </is>
      </c>
      <c r="L93" t="inlineStr">
        <is>
          <t xml:space="preserve"> 12/08/2026 -</t>
        </is>
      </c>
      <c r="M93" t="inlineStr">
        <is>
          <t xml:space="preserve"> 13/05/2026 -</t>
        </is>
      </c>
      <c r="N93" t="n">
        <v>71</v>
      </c>
      <c r="O93" t="inlineStr">
        <is>
          <t>DE ACUERDOS</t>
        </is>
      </c>
      <c r="P93" t="inlineStr">
        <is>
          <t>13/05/2026</t>
        </is>
      </c>
      <c r="Q93" t="inlineStr">
        <is>
          <t>12/08/2026</t>
        </is>
      </c>
      <c r="R93">
        <f>HYPERLINK("https://www.senado.gob.ar/parlamentario/parlamentaria/ordenDelDiaResultadoLink/2026/286"," 286 2026 AP -")</f>
        <v/>
      </c>
      <c r="S93" t="inlineStr">
        <is>
          <t xml:space="preserve">AP  27/08/2026            </t>
        </is>
      </c>
      <c r="T93" t="inlineStr">
        <is>
          <t xml:space="preserve"> - </t>
        </is>
      </c>
    </row>
    <row r="94">
      <c r="A94" t="inlineStr">
        <is>
          <t>PE</t>
        </is>
      </c>
      <c r="B94">
        <f>HYPERLINK("https://www.senado.gob.ar/parlamentario/comisiones/verExp/155.26/PE/AC","155")</f>
        <v/>
      </c>
      <c r="C94">
        <f>HYPERLINK("https://www.senado.gob.ar/parlamentario/comisiones/verExp/155.26/PE/AC","2026")</f>
        <v/>
      </c>
      <c r="D94" t="inlineStr">
        <is>
          <t>AC</t>
        </is>
      </c>
      <c r="E94" t="inlineStr">
        <is>
          <t>MENSAJE N° 158/26 QUE SOLICITA ACUERDO PARA DESIGNAR JUEZ DEL JUZGADO NACIONAL DE PRIMERA INSTANCIA EN LO CIVIL N° 110 DE LA CAPITAL FEDERAL, AL DR. JOSE MARIA ABRAM LUJAN.</t>
        </is>
      </c>
      <c r="G94" t="inlineStr">
        <is>
          <t xml:space="preserve"> 15 14/05/2026 -</t>
        </is>
      </c>
      <c r="J94" t="inlineStr">
        <is>
          <t xml:space="preserve"> 12/05/2026 -</t>
        </is>
      </c>
      <c r="L94" t="inlineStr">
        <is>
          <t xml:space="preserve"> 06/08/2026 -</t>
        </is>
      </c>
      <c r="M94" t="inlineStr">
        <is>
          <t xml:space="preserve"> 12/05/2026 -</t>
        </is>
      </c>
      <c r="N94" t="n">
        <v>71</v>
      </c>
      <c r="O94" t="inlineStr">
        <is>
          <t>DE ACUERDOS</t>
        </is>
      </c>
      <c r="P94" t="inlineStr">
        <is>
          <t>12/05/2026</t>
        </is>
      </c>
      <c r="Q94" t="inlineStr">
        <is>
          <t>06/08/2026</t>
        </is>
      </c>
      <c r="R94">
        <f>HYPERLINK("https://www.senado.gob.ar/parlamentario/parlamentaria/ordenDelDiaResultadoLink/2026/269"," 269 2026 AP -")</f>
        <v/>
      </c>
      <c r="S94" t="inlineStr">
        <is>
          <t xml:space="preserve">AP  27/08/2026            </t>
        </is>
      </c>
      <c r="T94" t="inlineStr">
        <is>
          <t xml:space="preserve"> - </t>
        </is>
      </c>
    </row>
    <row r="95">
      <c r="A95" t="inlineStr">
        <is>
          <t>PE</t>
        </is>
      </c>
      <c r="B95">
        <f>HYPERLINK("https://www.senado.gob.ar/parlamentario/comisiones/verExp/154.26/PE/AC","154")</f>
        <v/>
      </c>
      <c r="C95">
        <f>HYPERLINK("https://www.senado.gob.ar/parlamentario/comisiones/verExp/154.26/PE/AC","2026")</f>
        <v/>
      </c>
      <c r="D95" t="inlineStr">
        <is>
          <t>AC</t>
        </is>
      </c>
      <c r="E95" t="inlineStr">
        <is>
          <t>MENSAJE N° 157/26 QUE SOLICITA ACUERDO PARA DESIGNAR JUEZA DEL JUZGADO NACIONAL DE PRIMERA INSTANCIA EN LO CIVIL N° 109 DE LA CAPITAL FEDERAL, A LA DRA. PILAR FERNANDEZ ESCARGUEL.</t>
        </is>
      </c>
      <c r="G95" t="inlineStr">
        <is>
          <t xml:space="preserve"> 15 14/05/2026 -</t>
        </is>
      </c>
      <c r="J95" t="inlineStr">
        <is>
          <t xml:space="preserve"> 12/05/2026 -</t>
        </is>
      </c>
      <c r="L95" t="inlineStr">
        <is>
          <t xml:space="preserve"> 06/08/2026 -</t>
        </is>
      </c>
      <c r="M95" t="inlineStr">
        <is>
          <t xml:space="preserve"> 12/05/2026 -</t>
        </is>
      </c>
      <c r="N95" t="n">
        <v>71</v>
      </c>
      <c r="O95" t="inlineStr">
        <is>
          <t>DE ACUERDOS</t>
        </is>
      </c>
      <c r="P95" t="inlineStr">
        <is>
          <t>12/05/2026</t>
        </is>
      </c>
      <c r="Q95" t="inlineStr">
        <is>
          <t>06/08/2026</t>
        </is>
      </c>
      <c r="R95">
        <f>HYPERLINK("https://www.senado.gob.ar/parlamentario/parlamentaria/ordenDelDiaResultadoLink/2026/268"," 268 2026 AP -")</f>
        <v/>
      </c>
      <c r="S95" t="inlineStr">
        <is>
          <t xml:space="preserve">AP  27/08/2026            </t>
        </is>
      </c>
      <c r="T95" t="inlineStr">
        <is>
          <t xml:space="preserve"> - </t>
        </is>
      </c>
    </row>
    <row r="96">
      <c r="A96" t="inlineStr">
        <is>
          <t>PE</t>
        </is>
      </c>
      <c r="B96">
        <f>HYPERLINK("https://www.senado.gob.ar/parlamentario/comisiones/verExp/153.26/PE/AC","153")</f>
        <v/>
      </c>
      <c r="C96">
        <f>HYPERLINK("https://www.senado.gob.ar/parlamentario/comisiones/verExp/153.26/PE/AC","2026")</f>
        <v/>
      </c>
      <c r="D96" t="inlineStr">
        <is>
          <t>AC</t>
        </is>
      </c>
      <c r="E96" t="inlineStr">
        <is>
          <t>MENSAJE N° 156/26 QUE SOLICITA ACUERDO PARA DESIGNAR FISCAL FEDERAL DE LA SEDE FISCAL DESCENTRALIZADA DE PASO DE LOS LIBRES, PROVINCIA DE CORRIENTES, AL DR. HUGO DANIEL FROY.</t>
        </is>
      </c>
      <c r="G96" t="inlineStr">
        <is>
          <t xml:space="preserve"> 15 14/05/2026 -</t>
        </is>
      </c>
      <c r="I96" t="inlineStr">
        <is>
          <t>04/08/2026</t>
        </is>
      </c>
      <c r="J96" t="inlineStr">
        <is>
          <t xml:space="preserve"> 12/05/2026 -</t>
        </is>
      </c>
      <c r="L96" t="inlineStr">
        <is>
          <t xml:space="preserve"> 01/07/2026 -</t>
        </is>
      </c>
      <c r="M96" t="inlineStr">
        <is>
          <t xml:space="preserve"> 12/05/2026 -</t>
        </is>
      </c>
      <c r="N96" t="n">
        <v>71</v>
      </c>
      <c r="O96" t="inlineStr">
        <is>
          <t>DE ACUERDOS</t>
        </is>
      </c>
      <c r="P96" t="inlineStr">
        <is>
          <t>12/05/2026</t>
        </is>
      </c>
      <c r="Q96" t="inlineStr">
        <is>
          <t>01/07/2026</t>
        </is>
      </c>
      <c r="R96">
        <f>HYPERLINK("https://www.senado.gob.ar/parlamentario/parlamentaria/ordenDelDiaResultadoLink/2026/208"," 208 2026 AP -")</f>
        <v/>
      </c>
      <c r="S96" t="inlineStr">
        <is>
          <t xml:space="preserve">AP  16/07/2026            </t>
        </is>
      </c>
      <c r="T96" t="inlineStr">
        <is>
          <t xml:space="preserve"> - </t>
        </is>
      </c>
      <c r="V96" t="inlineStr">
        <is>
          <t>04/08/2026</t>
        </is>
      </c>
    </row>
    <row r="97">
      <c r="A97" t="inlineStr">
        <is>
          <t>PE</t>
        </is>
      </c>
      <c r="B97">
        <f>HYPERLINK("https://www.senado.gob.ar/parlamentario/comisiones/verExp/152.26/PE/AC","152")</f>
        <v/>
      </c>
      <c r="C97">
        <f>HYPERLINK("https://www.senado.gob.ar/parlamentario/comisiones/verExp/152.26/PE/AC","2026")</f>
        <v/>
      </c>
      <c r="D97" t="inlineStr">
        <is>
          <t>AC</t>
        </is>
      </c>
      <c r="E97" t="inlineStr">
        <is>
          <t>MENSAJE N° 155/26 QUE SOLICITA ACUERDO PARA DESIGNAR JUEZ DEL JUZGADO FEDERAL DE PRIMERA INSTANCIA EN LO CRIMINAL Y CORRECCIONAL N° 2 DE LOMAS DE ZAMORA, PROVINCIA DE BUENOS AIRES, AL DR. JUAN TOMAS RODRIGUEZ PONTE.</t>
        </is>
      </c>
      <c r="G97" t="inlineStr">
        <is>
          <t xml:space="preserve"> 15 14/05/2026 -</t>
        </is>
      </c>
      <c r="I97" t="inlineStr">
        <is>
          <t>04/08/2026</t>
        </is>
      </c>
      <c r="J97" t="inlineStr">
        <is>
          <t xml:space="preserve"> 12/05/2026 -</t>
        </is>
      </c>
      <c r="L97" t="inlineStr">
        <is>
          <t xml:space="preserve"> 01/07/2026 -</t>
        </is>
      </c>
      <c r="M97" t="inlineStr">
        <is>
          <t xml:space="preserve"> 12/05/2026 -</t>
        </is>
      </c>
      <c r="N97" t="n">
        <v>71</v>
      </c>
      <c r="O97" t="inlineStr">
        <is>
          <t>DE ACUERDOS</t>
        </is>
      </c>
      <c r="P97" t="inlineStr">
        <is>
          <t>12/05/2026</t>
        </is>
      </c>
      <c r="Q97" t="inlineStr">
        <is>
          <t>01/07/2026</t>
        </is>
      </c>
      <c r="R97">
        <f>HYPERLINK("https://www.senado.gob.ar/parlamentario/parlamentaria/ordenDelDiaResultadoLink/2026/207"," 207 2026 AP -")</f>
        <v/>
      </c>
      <c r="S97" t="inlineStr">
        <is>
          <t xml:space="preserve">AP  16/07/2026            </t>
        </is>
      </c>
      <c r="T97" t="inlineStr">
        <is>
          <t xml:space="preserve"> - </t>
        </is>
      </c>
      <c r="V97" t="inlineStr">
        <is>
          <t>04/08/2026</t>
        </is>
      </c>
    </row>
    <row r="98">
      <c r="A98" t="inlineStr">
        <is>
          <t>PE</t>
        </is>
      </c>
      <c r="B98">
        <f>HYPERLINK("https://www.senado.gob.ar/parlamentario/comisiones/verExp/151.26/PE/AC","151")</f>
        <v/>
      </c>
      <c r="C98">
        <f>HYPERLINK("https://www.senado.gob.ar/parlamentario/comisiones/verExp/151.26/PE/AC","2026")</f>
        <v/>
      </c>
      <c r="D98" t="inlineStr">
        <is>
          <t>AC</t>
        </is>
      </c>
      <c r="E98" t="inlineStr">
        <is>
          <t>MENSAJE N° 154/26 QUE SOLICITA ACUERDO PARA DESIGNAR JUEZ DEL JUZGADO NACIONAL DE PRIMERA INSTANCIA EN LO CIVIL N°19 DE LA CAPITAL FEDERAL, AL DR. SANTIAGO VILLAGRAN.</t>
        </is>
      </c>
      <c r="G98" t="inlineStr">
        <is>
          <t xml:space="preserve"> 15 14/05/2026 -</t>
        </is>
      </c>
      <c r="J98" t="inlineStr">
        <is>
          <t xml:space="preserve"> 12/05/2026 -</t>
        </is>
      </c>
      <c r="L98" t="inlineStr">
        <is>
          <t xml:space="preserve"> 06/08/2026 -</t>
        </is>
      </c>
      <c r="M98" t="inlineStr">
        <is>
          <t xml:space="preserve"> 12/05/2026 -</t>
        </is>
      </c>
      <c r="N98" t="n">
        <v>71</v>
      </c>
      <c r="O98" t="inlineStr">
        <is>
          <t>DE ACUERDOS</t>
        </is>
      </c>
      <c r="P98" t="inlineStr">
        <is>
          <t>12/05/2026</t>
        </is>
      </c>
      <c r="Q98" t="inlineStr">
        <is>
          <t>06/08/2026</t>
        </is>
      </c>
      <c r="R98">
        <f>HYPERLINK("https://www.senado.gob.ar/parlamentario/parlamentaria/ordenDelDiaResultadoLink/2026/267"," 267 2026 AP -")</f>
        <v/>
      </c>
      <c r="S98" t="inlineStr">
        <is>
          <t xml:space="preserve">AP  27/08/2026            </t>
        </is>
      </c>
      <c r="T98" t="inlineStr">
        <is>
          <t xml:space="preserve"> - </t>
        </is>
      </c>
    </row>
    <row r="99">
      <c r="A99" t="inlineStr">
        <is>
          <t>PE</t>
        </is>
      </c>
      <c r="B99">
        <f>HYPERLINK("https://www.senado.gob.ar/parlamentario/comisiones/verExp/150.26/PE/AC","150")</f>
        <v/>
      </c>
      <c r="C99">
        <f>HYPERLINK("https://www.senado.gob.ar/parlamentario/comisiones/verExp/150.26/PE/AC","2026")</f>
        <v/>
      </c>
      <c r="D99" t="inlineStr">
        <is>
          <t>AC</t>
        </is>
      </c>
      <c r="E99" t="inlineStr">
        <is>
          <t xml:space="preserve">MENSAJE N° 153/26 QUE SOLICITA ACUERDO PARA DESIGNAR JUEZA DE CAMARA DEL TRIBUNAL ORAL EN LO CRIMINAL Y CORRECCIONAL N° 18 DE LA CAPITAL FEDERAL, A LA DRA. PAULA VANESA ROMEO.
</t>
        </is>
      </c>
      <c r="G99" t="inlineStr">
        <is>
          <t xml:space="preserve"> 15 14/05/2026 -</t>
        </is>
      </c>
      <c r="I99" t="inlineStr">
        <is>
          <t>04/08/2026</t>
        </is>
      </c>
      <c r="J99" t="inlineStr">
        <is>
          <t xml:space="preserve"> 12/05/2026 -</t>
        </is>
      </c>
      <c r="L99" t="inlineStr">
        <is>
          <t xml:space="preserve"> 01/07/2026 -</t>
        </is>
      </c>
      <c r="M99" t="inlineStr">
        <is>
          <t xml:space="preserve"> 12/05/2026 -</t>
        </is>
      </c>
      <c r="N99" t="n">
        <v>71</v>
      </c>
      <c r="O99" t="inlineStr">
        <is>
          <t>DE ACUERDOS</t>
        </is>
      </c>
      <c r="P99" t="inlineStr">
        <is>
          <t>12/05/2026</t>
        </is>
      </c>
      <c r="Q99" t="inlineStr">
        <is>
          <t>01/07/2026</t>
        </is>
      </c>
      <c r="R99">
        <f>HYPERLINK("https://www.senado.gob.ar/parlamentario/parlamentaria/ordenDelDiaResultadoLink/2026/206"," 206 2026 AP -")</f>
        <v/>
      </c>
      <c r="S99" t="inlineStr">
        <is>
          <t xml:space="preserve">AP  16/07/2026            </t>
        </is>
      </c>
      <c r="T99" t="inlineStr">
        <is>
          <t xml:space="preserve"> - </t>
        </is>
      </c>
      <c r="V99" t="inlineStr">
        <is>
          <t>04/08/2026</t>
        </is>
      </c>
    </row>
    <row r="100">
      <c r="A100" t="inlineStr">
        <is>
          <t>PE</t>
        </is>
      </c>
      <c r="B100">
        <f>HYPERLINK("https://www.senado.gob.ar/parlamentario/comisiones/verExp/149.26/PE/AC","149")</f>
        <v/>
      </c>
      <c r="C100">
        <f>HYPERLINK("https://www.senado.gob.ar/parlamentario/comisiones/verExp/149.26/PE/AC","2026")</f>
        <v/>
      </c>
      <c r="D100" t="inlineStr">
        <is>
          <t>AC</t>
        </is>
      </c>
      <c r="E100" t="inlineStr">
        <is>
          <t>MENSAJE N° 152/26 QUE SOLICITA ACUERDO PARA DESIGNAR JUEZ DE CAMARA DEL TRIBUNAL ORAL EN LO CRIMINAL Y CORRECCIONAL N° 10 DE LA CAPITAL FEDERAL, AL DR. JULIO CESAR DI GIORGIO.</t>
        </is>
      </c>
      <c r="G100" t="inlineStr">
        <is>
          <t xml:space="preserve"> 15 14/05/2026 -</t>
        </is>
      </c>
      <c r="J100" t="inlineStr">
        <is>
          <t xml:space="preserve"> 12/05/2026 -</t>
        </is>
      </c>
      <c r="L100" t="inlineStr">
        <is>
          <t xml:space="preserve"> 06/08/2026 -</t>
        </is>
      </c>
      <c r="M100" t="inlineStr">
        <is>
          <t xml:space="preserve"> 12/05/2026 -</t>
        </is>
      </c>
      <c r="N100" t="n">
        <v>71</v>
      </c>
      <c r="O100" t="inlineStr">
        <is>
          <t>DE ACUERDOS</t>
        </is>
      </c>
      <c r="P100" t="inlineStr">
        <is>
          <t>12/05/2026</t>
        </is>
      </c>
      <c r="Q100" t="inlineStr">
        <is>
          <t>06/08/2026</t>
        </is>
      </c>
      <c r="R100">
        <f>HYPERLINK("https://www.senado.gob.ar/parlamentario/parlamentaria/ordenDelDiaResultadoLink/2026/266"," 266 2026 AP -")</f>
        <v/>
      </c>
      <c r="S100" t="inlineStr">
        <is>
          <t xml:space="preserve">AP  27/08/2026            </t>
        </is>
      </c>
      <c r="T100" t="inlineStr">
        <is>
          <t xml:space="preserve"> - </t>
        </is>
      </c>
    </row>
    <row r="101">
      <c r="A101" t="inlineStr">
        <is>
          <t>PE</t>
        </is>
      </c>
      <c r="B101">
        <f>HYPERLINK("https://www.senado.gob.ar/parlamentario/comisiones/verExp/148.26/PE/AC","148")</f>
        <v/>
      </c>
      <c r="C101">
        <f>HYPERLINK("https://www.senado.gob.ar/parlamentario/comisiones/verExp/148.26/PE/AC","2026")</f>
        <v/>
      </c>
      <c r="D101" t="inlineStr">
        <is>
          <t>AC</t>
        </is>
      </c>
      <c r="E101" t="inlineStr">
        <is>
          <t>MENSAJE N° 151/26 QUE SOLICITA ACUERDO PARA DESIGNAR JUEZ DE CAMARA DEL TRIBUNAL ORAL EN LO CRIMINAL Y CORRECCIONAL N° 9 DE LA CAPITAL FEDERAL, AL DR. JUAN CARLOS RICCARDINI.</t>
        </is>
      </c>
      <c r="G101" t="inlineStr">
        <is>
          <t xml:space="preserve"> 15 14/05/2026 -</t>
        </is>
      </c>
      <c r="I101" t="inlineStr">
        <is>
          <t>04/08/2026</t>
        </is>
      </c>
      <c r="J101" t="inlineStr">
        <is>
          <t xml:space="preserve"> 12/05/2026 -</t>
        </is>
      </c>
      <c r="L101" t="inlineStr">
        <is>
          <t xml:space="preserve"> 01/07/2026 -</t>
        </is>
      </c>
      <c r="M101" t="inlineStr">
        <is>
          <t xml:space="preserve"> 12/05/2026 -</t>
        </is>
      </c>
      <c r="N101" t="n">
        <v>71</v>
      </c>
      <c r="O101" t="inlineStr">
        <is>
          <t>DE ACUERDOS</t>
        </is>
      </c>
      <c r="P101" t="inlineStr">
        <is>
          <t>12/05/2026</t>
        </is>
      </c>
      <c r="Q101" t="inlineStr">
        <is>
          <t>01/07/2026</t>
        </is>
      </c>
      <c r="R101">
        <f>HYPERLINK("https://www.senado.gob.ar/parlamentario/parlamentaria/ordenDelDiaResultadoLink/2026/205"," 205 2026 AP -")</f>
        <v/>
      </c>
      <c r="S101" t="inlineStr">
        <is>
          <t xml:space="preserve">AP  16/07/2026            </t>
        </is>
      </c>
      <c r="T101" t="inlineStr">
        <is>
          <t xml:space="preserve"> - </t>
        </is>
      </c>
      <c r="V101" t="inlineStr">
        <is>
          <t>04/08/2026</t>
        </is>
      </c>
    </row>
    <row r="102">
      <c r="A102" t="inlineStr">
        <is>
          <t>PE</t>
        </is>
      </c>
      <c r="B102">
        <f>HYPERLINK("https://www.senado.gob.ar/parlamentario/comisiones/verExp/147.26/PE/AC","147")</f>
        <v/>
      </c>
      <c r="C102">
        <f>HYPERLINK("https://www.senado.gob.ar/parlamentario/comisiones/verExp/147.26/PE/AC","2026")</f>
        <v/>
      </c>
      <c r="D102" t="inlineStr">
        <is>
          <t>AC</t>
        </is>
      </c>
      <c r="E102" t="inlineStr">
        <is>
          <t>MENSAJE N° 150/26 QUE SOLICITA ACUERDO PARA DESIGNAR JUEZ DE CAMARA DEL TRIBUNAL ORAL EN LO CRIMINAL FEDERAL DE TUCUMAN, PROV. DE TUCUMAN, AL DR. ANGEL ROGER LUNA ROLDAN.</t>
        </is>
      </c>
      <c r="G102" t="inlineStr">
        <is>
          <t xml:space="preserve"> 14 14/05/2026 -</t>
        </is>
      </c>
      <c r="I102" t="inlineStr">
        <is>
          <t>04/08/2026</t>
        </is>
      </c>
      <c r="J102" t="inlineStr">
        <is>
          <t xml:space="preserve"> 11/05/2026 -</t>
        </is>
      </c>
      <c r="L102" t="inlineStr">
        <is>
          <t xml:space="preserve"> 01/07/2026 -</t>
        </is>
      </c>
      <c r="M102" t="inlineStr">
        <is>
          <t xml:space="preserve"> 11/05/2026 -</t>
        </is>
      </c>
      <c r="N102" t="n">
        <v>71</v>
      </c>
      <c r="O102" t="inlineStr">
        <is>
          <t>DE ACUERDOS</t>
        </is>
      </c>
      <c r="P102" t="inlineStr">
        <is>
          <t>11/05/2026</t>
        </is>
      </c>
      <c r="Q102" t="inlineStr">
        <is>
          <t>01/07/2026</t>
        </is>
      </c>
      <c r="R102">
        <f>HYPERLINK("https://www.senado.gob.ar/parlamentario/parlamentaria/ordenDelDiaResultadoLink/2026/204"," 204 2026 AP -")</f>
        <v/>
      </c>
      <c r="S102" t="inlineStr">
        <is>
          <t xml:space="preserve">AP  16/07/2026            </t>
        </is>
      </c>
      <c r="T102" t="inlineStr">
        <is>
          <t xml:space="preserve"> - </t>
        </is>
      </c>
      <c r="V102" t="inlineStr">
        <is>
          <t>04/08/2026</t>
        </is>
      </c>
    </row>
    <row r="103">
      <c r="A103" t="inlineStr">
        <is>
          <t>PE</t>
        </is>
      </c>
      <c r="B103">
        <f>HYPERLINK("https://www.senado.gob.ar/parlamentario/comisiones/verExp/146.26/PE/AC","146")</f>
        <v/>
      </c>
      <c r="C103">
        <f>HYPERLINK("https://www.senado.gob.ar/parlamentario/comisiones/verExp/146.26/PE/AC","2026")</f>
        <v/>
      </c>
      <c r="D103" t="inlineStr">
        <is>
          <t>AC</t>
        </is>
      </c>
      <c r="E103" t="inlineStr">
        <is>
          <t>MENSAJE N° 149/26 QUE SOLICITA ACUERDO PARA DESIGNAR VOCAL DE LA CAMARA FEDERAL DE APELACIONES DE RESISTENCIA, PROV. DEL CHACO, A LA DRA. MARIA VIRGINIA ISE.</t>
        </is>
      </c>
      <c r="G103" t="inlineStr">
        <is>
          <t xml:space="preserve"> 14 14/05/2026 -</t>
        </is>
      </c>
      <c r="I103" t="inlineStr">
        <is>
          <t>04/08/2026</t>
        </is>
      </c>
      <c r="J103" t="inlineStr">
        <is>
          <t xml:space="preserve"> 11/05/2026 -</t>
        </is>
      </c>
      <c r="L103" t="inlineStr">
        <is>
          <t xml:space="preserve"> 01/07/2026 -</t>
        </is>
      </c>
      <c r="M103" t="inlineStr">
        <is>
          <t xml:space="preserve"> 11/05/2026 -</t>
        </is>
      </c>
      <c r="N103" t="n">
        <v>71</v>
      </c>
      <c r="O103" t="inlineStr">
        <is>
          <t>DE ACUERDOS</t>
        </is>
      </c>
      <c r="P103" t="inlineStr">
        <is>
          <t>11/05/2026</t>
        </is>
      </c>
      <c r="Q103" t="inlineStr">
        <is>
          <t>01/07/2026</t>
        </is>
      </c>
      <c r="R103">
        <f>HYPERLINK("https://www.senado.gob.ar/parlamentario/parlamentaria/ordenDelDiaResultadoLink/2026/203"," 203 2026 AP -")</f>
        <v/>
      </c>
      <c r="S103" t="inlineStr">
        <is>
          <t xml:space="preserve">AP  16/07/2026            </t>
        </is>
      </c>
      <c r="T103" t="inlineStr">
        <is>
          <t xml:space="preserve"> - </t>
        </is>
      </c>
      <c r="V103" t="inlineStr">
        <is>
          <t>04/08/2026</t>
        </is>
      </c>
    </row>
    <row r="104">
      <c r="A104" t="inlineStr">
        <is>
          <t>PE</t>
        </is>
      </c>
      <c r="B104">
        <f>HYPERLINK("https://www.senado.gob.ar/parlamentario/comisiones/verExp/145.26/PE/AC","145")</f>
        <v/>
      </c>
      <c r="C104">
        <f>HYPERLINK("https://www.senado.gob.ar/parlamentario/comisiones/verExp/145.26/PE/AC","2026")</f>
        <v/>
      </c>
      <c r="D104" t="inlineStr">
        <is>
          <t>AC</t>
        </is>
      </c>
      <c r="E104" t="inlineStr">
        <is>
          <t>MENSAJE N° 148/26 QUE SOLICITA ACUERDO PARA DESIGNAR FISCAL FEDERAL DE LA UNIDAD FISCAL DE CORRIENTES, PROV. DE CORRIENTES, AL DR. JUAN MARCELO BURELLA ACEVEDO.</t>
        </is>
      </c>
      <c r="G104" t="inlineStr">
        <is>
          <t xml:space="preserve"> 14 14/05/2026 -</t>
        </is>
      </c>
      <c r="I104" t="inlineStr">
        <is>
          <t>04/08/2026</t>
        </is>
      </c>
      <c r="J104" t="inlineStr">
        <is>
          <t xml:space="preserve"> 11/05/2026 -</t>
        </is>
      </c>
      <c r="L104" t="inlineStr">
        <is>
          <t xml:space="preserve"> 01/07/2026 -</t>
        </is>
      </c>
      <c r="M104" t="inlineStr">
        <is>
          <t xml:space="preserve"> 11/05/2026 -</t>
        </is>
      </c>
      <c r="N104" t="n">
        <v>71</v>
      </c>
      <c r="O104" t="inlineStr">
        <is>
          <t>DE ACUERDOS</t>
        </is>
      </c>
      <c r="P104" t="inlineStr">
        <is>
          <t>11/05/2026</t>
        </is>
      </c>
      <c r="Q104" t="inlineStr">
        <is>
          <t>01/07/2026</t>
        </is>
      </c>
      <c r="R104">
        <f>HYPERLINK("https://www.senado.gob.ar/parlamentario/parlamentaria/ordenDelDiaResultadoLink/2026/202"," 202 2026 AP -")</f>
        <v/>
      </c>
      <c r="S104" t="inlineStr">
        <is>
          <t xml:space="preserve">AP  16/07/2026            </t>
        </is>
      </c>
      <c r="T104" t="inlineStr">
        <is>
          <t xml:space="preserve"> - </t>
        </is>
      </c>
      <c r="V104" t="inlineStr">
        <is>
          <t>04/08/2026</t>
        </is>
      </c>
    </row>
    <row r="105">
      <c r="A105" t="inlineStr">
        <is>
          <t>PE</t>
        </is>
      </c>
      <c r="B105">
        <f>HYPERLINK("https://www.senado.gob.ar/parlamentario/comisiones/verExp/144.26/PE/AC","144")</f>
        <v/>
      </c>
      <c r="C105">
        <f>HYPERLINK("https://www.senado.gob.ar/parlamentario/comisiones/verExp/144.26/PE/AC","2026")</f>
        <v/>
      </c>
      <c r="D105" t="inlineStr">
        <is>
          <t>AC</t>
        </is>
      </c>
      <c r="E105" t="inlineStr">
        <is>
          <t xml:space="preserve">MENSAJE N° 147/26 QUE SOLICITA ACUERDO PARA DESIGNAR JUEZA DE CAMARA DEL TRIBUNAL ORAL EN LO CRIMINAL FEDERAL DE POSADAS, PROV. DE MISIONES, A LA DRA. RUTH MARIA PONCE DE LEON.
</t>
        </is>
      </c>
      <c r="G105" t="inlineStr">
        <is>
          <t xml:space="preserve"> 14 14/05/2026 -</t>
        </is>
      </c>
      <c r="I105" t="inlineStr">
        <is>
          <t>04/08/2026</t>
        </is>
      </c>
      <c r="J105" t="inlineStr">
        <is>
          <t xml:space="preserve"> 11/05/2026 -</t>
        </is>
      </c>
      <c r="L105" t="inlineStr">
        <is>
          <t xml:space="preserve"> 01/07/2026 -</t>
        </is>
      </c>
      <c r="M105" t="inlineStr">
        <is>
          <t xml:space="preserve"> 11/05/2026 -</t>
        </is>
      </c>
      <c r="N105" t="n">
        <v>71</v>
      </c>
      <c r="O105" t="inlineStr">
        <is>
          <t>DE ACUERDOS</t>
        </is>
      </c>
      <c r="P105" t="inlineStr">
        <is>
          <t>11/05/2026</t>
        </is>
      </c>
      <c r="Q105" t="inlineStr">
        <is>
          <t>01/07/2026</t>
        </is>
      </c>
      <c r="R105">
        <f>HYPERLINK("https://www.senado.gob.ar/parlamentario/parlamentaria/ordenDelDiaResultadoLink/2026/201"," 201 2026 AP -")</f>
        <v/>
      </c>
      <c r="S105" t="inlineStr">
        <is>
          <t xml:space="preserve">AP  16/07/2026            </t>
        </is>
      </c>
      <c r="T105" t="inlineStr">
        <is>
          <t xml:space="preserve"> - </t>
        </is>
      </c>
      <c r="V105" t="inlineStr">
        <is>
          <t>04/08/2026</t>
        </is>
      </c>
    </row>
    <row r="106">
      <c r="A106" t="inlineStr">
        <is>
          <t>PE</t>
        </is>
      </c>
      <c r="B106">
        <f>HYPERLINK("https://www.senado.gob.ar/parlamentario/comisiones/verExp/143.26/PE/AC","143")</f>
        <v/>
      </c>
      <c r="C106">
        <f>HYPERLINK("https://www.senado.gob.ar/parlamentario/comisiones/verExp/143.26/PE/AC","2026")</f>
        <v/>
      </c>
      <c r="D106" t="inlineStr">
        <is>
          <t>AC</t>
        </is>
      </c>
      <c r="E106" t="inlineStr">
        <is>
          <t>MENSAJE N° 146/26 QUE SOLICITA ACUERDO PARA DESIGNAR JUEZ DE CAMARA DEL TRIBUNAL ORAL EN LO CRIMINAL FEDERAL DE TUCUMAN, PROV. DE TUCUMAN, AL DR. PABLO ROBERTO TOLEDO.</t>
        </is>
      </c>
      <c r="G106" t="inlineStr">
        <is>
          <t xml:space="preserve"> 14 14/05/2026 -</t>
        </is>
      </c>
      <c r="I106" t="inlineStr">
        <is>
          <t>04/08/2026</t>
        </is>
      </c>
      <c r="J106" t="inlineStr">
        <is>
          <t xml:space="preserve"> 11/05/2026 -</t>
        </is>
      </c>
      <c r="L106" t="inlineStr">
        <is>
          <t xml:space="preserve"> 01/07/2026 -</t>
        </is>
      </c>
      <c r="M106" t="inlineStr">
        <is>
          <t xml:space="preserve"> 11/05/2026 -</t>
        </is>
      </c>
      <c r="N106" t="n">
        <v>71</v>
      </c>
      <c r="O106" t="inlineStr">
        <is>
          <t>DE ACUERDOS</t>
        </is>
      </c>
      <c r="P106" t="inlineStr">
        <is>
          <t>11/05/2026</t>
        </is>
      </c>
      <c r="Q106" t="inlineStr">
        <is>
          <t>01/07/2026</t>
        </is>
      </c>
      <c r="R106">
        <f>HYPERLINK("https://www.senado.gob.ar/parlamentario/parlamentaria/ordenDelDiaResultadoLink/2026/200"," 200 2026 AP -")</f>
        <v/>
      </c>
      <c r="S106" t="inlineStr">
        <is>
          <t xml:space="preserve">AP  16/07/2026            </t>
        </is>
      </c>
      <c r="T106" t="inlineStr">
        <is>
          <t xml:space="preserve"> - </t>
        </is>
      </c>
      <c r="V106" t="inlineStr">
        <is>
          <t>04/08/2026</t>
        </is>
      </c>
    </row>
    <row r="107">
      <c r="A107" t="inlineStr">
        <is>
          <t>PE</t>
        </is>
      </c>
      <c r="B107">
        <f>HYPERLINK("https://www.senado.gob.ar/parlamentario/comisiones/verExp/142.26/PE/AC","142")</f>
        <v/>
      </c>
      <c r="C107">
        <f>HYPERLINK("https://www.senado.gob.ar/parlamentario/comisiones/verExp/142.26/PE/AC","2026")</f>
        <v/>
      </c>
      <c r="D107" t="inlineStr">
        <is>
          <t>AC</t>
        </is>
      </c>
      <c r="E107" t="inlineStr">
        <is>
          <t>MENSAJE N° 145/26 QUE SOLICITA ACUERDO PARA DESIGNAR VOCAL DE LA CAMARA NACIONAL DE APELACIONES DEL TRABAJO DE LA CAPITAL FEDERAL, SALA III, AL DR. CLAUDIO FABIAN LOGUARRO.</t>
        </is>
      </c>
      <c r="G107" t="inlineStr">
        <is>
          <t xml:space="preserve"> 14 14/05/2026 -</t>
        </is>
      </c>
      <c r="I107" t="inlineStr">
        <is>
          <t>04/08/2026</t>
        </is>
      </c>
      <c r="J107" t="inlineStr">
        <is>
          <t xml:space="preserve"> 11/05/2026 -</t>
        </is>
      </c>
      <c r="L107" t="inlineStr">
        <is>
          <t xml:space="preserve"> 09/06/2026 -</t>
        </is>
      </c>
      <c r="M107" t="inlineStr">
        <is>
          <t xml:space="preserve"> 11/05/2026 -</t>
        </is>
      </c>
      <c r="N107" t="n">
        <v>71</v>
      </c>
      <c r="O107" t="inlineStr">
        <is>
          <t>DE ACUERDOS</t>
        </is>
      </c>
      <c r="P107" t="inlineStr">
        <is>
          <t>11/05/2026</t>
        </is>
      </c>
      <c r="Q107" t="inlineStr">
        <is>
          <t>09/06/2026</t>
        </is>
      </c>
      <c r="R107">
        <f>HYPERLINK("https://www.senado.gob.ar/parlamentario/parlamentaria/ordenDelDiaResultadoLink/2026/129"," 129 2026 AP -")</f>
        <v/>
      </c>
      <c r="S107" t="inlineStr">
        <is>
          <t xml:space="preserve">AP  16/07/2026            </t>
        </is>
      </c>
      <c r="T107" t="inlineStr">
        <is>
          <t xml:space="preserve"> - </t>
        </is>
      </c>
      <c r="V107" t="inlineStr">
        <is>
          <t>04/08/2026</t>
        </is>
      </c>
    </row>
    <row r="108">
      <c r="A108" t="inlineStr">
        <is>
          <t>PE</t>
        </is>
      </c>
      <c r="B108">
        <f>HYPERLINK("https://www.senado.gob.ar/parlamentario/comisiones/verExp/141.26/PE/AC","141")</f>
        <v/>
      </c>
      <c r="C108">
        <f>HYPERLINK("https://www.senado.gob.ar/parlamentario/comisiones/verExp/141.26/PE/AC","2026")</f>
        <v/>
      </c>
      <c r="D108" t="inlineStr">
        <is>
          <t>AC</t>
        </is>
      </c>
      <c r="E108" t="inlineStr">
        <is>
          <t xml:space="preserve">MENSAJE N° 144/26 QUE SOLICITA ACUERDO PARA DESIGNAR VOCAL DE LA CAMARA NACIONAL DE APELACIONES DEL TRABAJO DE LA CAPITAL FEDERAL, SALA V, AL DR. DIEGO FERNANDO MANAUTA.
</t>
        </is>
      </c>
      <c r="G108" t="inlineStr">
        <is>
          <t xml:space="preserve"> 14 14/05/2026 -</t>
        </is>
      </c>
      <c r="I108" t="inlineStr">
        <is>
          <t>04/08/2026</t>
        </is>
      </c>
      <c r="J108" t="inlineStr">
        <is>
          <t xml:space="preserve"> 11/05/2026 -</t>
        </is>
      </c>
      <c r="L108" t="inlineStr">
        <is>
          <t xml:space="preserve"> 09/06/2026 -</t>
        </is>
      </c>
      <c r="M108" t="inlineStr">
        <is>
          <t xml:space="preserve"> 11/05/2026 -</t>
        </is>
      </c>
      <c r="N108" t="n">
        <v>71</v>
      </c>
      <c r="O108" t="inlineStr">
        <is>
          <t>DE ACUERDOS</t>
        </is>
      </c>
      <c r="P108" t="inlineStr">
        <is>
          <t>11/05/2026</t>
        </is>
      </c>
      <c r="Q108" t="inlineStr">
        <is>
          <t>09/06/2026</t>
        </is>
      </c>
      <c r="R108">
        <f>HYPERLINK("https://www.senado.gob.ar/parlamentario/parlamentaria/ordenDelDiaResultadoLink/2026/128"," 128 2026 AP -")</f>
        <v/>
      </c>
      <c r="S108" t="inlineStr">
        <is>
          <t xml:space="preserve">AP  16/07/2026            </t>
        </is>
      </c>
      <c r="T108" t="inlineStr">
        <is>
          <t xml:space="preserve"> - </t>
        </is>
      </c>
      <c r="V108" t="inlineStr">
        <is>
          <t>04/08/2026</t>
        </is>
      </c>
    </row>
    <row r="109">
      <c r="A109" t="inlineStr">
        <is>
          <t>PE</t>
        </is>
      </c>
      <c r="B109">
        <f>HYPERLINK("https://www.senado.gob.ar/parlamentario/comisiones/verExp/140.26/PE/AC","140")</f>
        <v/>
      </c>
      <c r="C109">
        <f>HYPERLINK("https://www.senado.gob.ar/parlamentario/comisiones/verExp/140.26/PE/AC","2026")</f>
        <v/>
      </c>
      <c r="D109" t="inlineStr">
        <is>
          <t>AC</t>
        </is>
      </c>
      <c r="E109" t="inlineStr">
        <is>
          <t>MENSAJE N° 143/26 QUE SOLICITA ACUERDO PARA DESIGNAR VOCAL DE LA CAMARA NACIONAL DE APELACIONES DEL TRABAJO DE LA CAPITAL FEDERAL, SALA II, AL DR. DIEGO JAVIER TULA.</t>
        </is>
      </c>
      <c r="G109" t="inlineStr">
        <is>
          <t xml:space="preserve"> 14 14/05/2026 -</t>
        </is>
      </c>
      <c r="I109" t="inlineStr">
        <is>
          <t>04/08/2026</t>
        </is>
      </c>
      <c r="J109" t="inlineStr">
        <is>
          <t xml:space="preserve"> 11/05/2026 -</t>
        </is>
      </c>
      <c r="L109" t="inlineStr">
        <is>
          <t xml:space="preserve"> 09/06/2026 -</t>
        </is>
      </c>
      <c r="M109" t="inlineStr">
        <is>
          <t xml:space="preserve"> 11/05/2026 -</t>
        </is>
      </c>
      <c r="N109" t="n">
        <v>71</v>
      </c>
      <c r="O109" t="inlineStr">
        <is>
          <t>DE ACUERDOS</t>
        </is>
      </c>
      <c r="P109" t="inlineStr">
        <is>
          <t>11/05/2026</t>
        </is>
      </c>
      <c r="Q109" t="inlineStr">
        <is>
          <t>09/06/2026</t>
        </is>
      </c>
      <c r="R109">
        <f>HYPERLINK("https://www.senado.gob.ar/parlamentario/parlamentaria/ordenDelDiaResultadoLink/2026/127"," 127 2026 AP -")</f>
        <v/>
      </c>
      <c r="S109" t="inlineStr">
        <is>
          <t xml:space="preserve">AP  16/07/2026            </t>
        </is>
      </c>
      <c r="T109" t="inlineStr">
        <is>
          <t xml:space="preserve"> - </t>
        </is>
      </c>
      <c r="V109" t="inlineStr">
        <is>
          <t>04/08/2026</t>
        </is>
      </c>
    </row>
    <row r="110">
      <c r="A110" t="inlineStr">
        <is>
          <t>PE</t>
        </is>
      </c>
      <c r="B110">
        <f>HYPERLINK("https://www.senado.gob.ar/parlamentario/comisiones/verExp/139.26/PE/AC","139")</f>
        <v/>
      </c>
      <c r="C110">
        <f>HYPERLINK("https://www.senado.gob.ar/parlamentario/comisiones/verExp/139.26/PE/AC","2026")</f>
        <v/>
      </c>
      <c r="D110" t="inlineStr">
        <is>
          <t>AC</t>
        </is>
      </c>
      <c r="E110" t="inlineStr">
        <is>
          <t>MENSAJE N° 142/26 QUE SOLICITA ACUERDO PARA DESIGNAR VOCAL DE LA CAMARA NACIONAL DE APELACIONES DEL TRABAJO DE LA CAPITAL FEDERAL, SALA VI, A LA DRA. MARINA EDITH PISACCO.</t>
        </is>
      </c>
      <c r="G110" t="inlineStr">
        <is>
          <t xml:space="preserve"> 14 14/05/2026 -</t>
        </is>
      </c>
      <c r="I110" t="inlineStr">
        <is>
          <t>04/08/2026</t>
        </is>
      </c>
      <c r="J110" t="inlineStr">
        <is>
          <t xml:space="preserve"> 11/05/2026 -</t>
        </is>
      </c>
      <c r="L110" t="inlineStr">
        <is>
          <t xml:space="preserve"> 09/06/2026 -</t>
        </is>
      </c>
      <c r="M110" t="inlineStr">
        <is>
          <t xml:space="preserve"> 11/05/2026 -</t>
        </is>
      </c>
      <c r="N110" t="n">
        <v>71</v>
      </c>
      <c r="O110" t="inlineStr">
        <is>
          <t>DE ACUERDOS</t>
        </is>
      </c>
      <c r="P110" t="inlineStr">
        <is>
          <t>11/05/2026</t>
        </is>
      </c>
      <c r="Q110" t="inlineStr">
        <is>
          <t>09/06/2026</t>
        </is>
      </c>
      <c r="R110">
        <f>HYPERLINK("https://www.senado.gob.ar/parlamentario/parlamentaria/ordenDelDiaResultadoLink/2026/126"," 126 2026 AP -")</f>
        <v/>
      </c>
      <c r="S110" t="inlineStr">
        <is>
          <t xml:space="preserve">AP  16/07/2026            </t>
        </is>
      </c>
      <c r="T110" t="inlineStr">
        <is>
          <t xml:space="preserve"> - </t>
        </is>
      </c>
      <c r="V110" t="inlineStr">
        <is>
          <t>04/08/2026</t>
        </is>
      </c>
    </row>
    <row r="111">
      <c r="A111" t="inlineStr">
        <is>
          <t>PE</t>
        </is>
      </c>
      <c r="B111">
        <f>HYPERLINK("https://www.senado.gob.ar/parlamentario/comisiones/verExp/138.26/PE/AC","138")</f>
        <v/>
      </c>
      <c r="C111">
        <f>HYPERLINK("https://www.senado.gob.ar/parlamentario/comisiones/verExp/138.26/PE/AC","2026")</f>
        <v/>
      </c>
      <c r="D111" t="inlineStr">
        <is>
          <t>AC</t>
        </is>
      </c>
      <c r="E111" t="inlineStr">
        <is>
          <t>MENSAJE N° 141/26 QUE SOLICITA ACUERDO PARA DESIGNAR VOCAL DE LA CAMARA NACIONAL DE APELACIONES DEL TRABAJO DE LA CAPITAL FEDERAL, SALA X, A LA DRA. MARIA CLAUDIA JUEGUEN.</t>
        </is>
      </c>
      <c r="G111" t="inlineStr">
        <is>
          <t xml:space="preserve"> 14 14/05/2026 -</t>
        </is>
      </c>
      <c r="I111" t="inlineStr">
        <is>
          <t>04/08/2026</t>
        </is>
      </c>
      <c r="J111" t="inlineStr">
        <is>
          <t xml:space="preserve"> 11/05/2026 -</t>
        </is>
      </c>
      <c r="L111" t="inlineStr">
        <is>
          <t xml:space="preserve"> 09/06/2026 -</t>
        </is>
      </c>
      <c r="M111" t="inlineStr">
        <is>
          <t xml:space="preserve"> 11/05/2026 -</t>
        </is>
      </c>
      <c r="N111" t="n">
        <v>71</v>
      </c>
      <c r="O111" t="inlineStr">
        <is>
          <t>DE ACUERDOS</t>
        </is>
      </c>
      <c r="P111" t="inlineStr">
        <is>
          <t>11/05/2026</t>
        </is>
      </c>
      <c r="Q111" t="inlineStr">
        <is>
          <t>09/06/2026</t>
        </is>
      </c>
      <c r="R111">
        <f>HYPERLINK("https://www.senado.gob.ar/parlamentario/parlamentaria/ordenDelDiaResultadoLink/2026/125"," 125 2026 AP -")</f>
        <v/>
      </c>
      <c r="S111" t="inlineStr">
        <is>
          <t xml:space="preserve">AP  16/07/2026            </t>
        </is>
      </c>
      <c r="T111" t="inlineStr">
        <is>
          <t xml:space="preserve"> - </t>
        </is>
      </c>
      <c r="V111" t="inlineStr">
        <is>
          <t>04/08/2026</t>
        </is>
      </c>
    </row>
    <row r="112">
      <c r="A112" t="inlineStr">
        <is>
          <t>PE</t>
        </is>
      </c>
      <c r="B112">
        <f>HYPERLINK("https://www.senado.gob.ar/parlamentario/comisiones/verExp/137.26/PE/AC","137")</f>
        <v/>
      </c>
      <c r="C112">
        <f>HYPERLINK("https://www.senado.gob.ar/parlamentario/comisiones/verExp/137.26/PE/AC","2026")</f>
        <v/>
      </c>
      <c r="D112" t="inlineStr">
        <is>
          <t>AC</t>
        </is>
      </c>
      <c r="E112" t="inlineStr">
        <is>
          <t>MENSAJE N° 140/26 QUE SOLICITA ACUERDO PARA POSIBILITAR UN NUEVO NOMBRAMIENTO DEL VOCAL DE LA CAMARA NACIONAL DE APELACIONES DEL TRABAJO DE LA CAPITAL FEDERAL, SALA VIII, AL DR. VICTOR ARTURO PESINO</t>
        </is>
      </c>
      <c r="G112" t="inlineStr">
        <is>
          <t xml:space="preserve"> 14 14/05/2026 -</t>
        </is>
      </c>
      <c r="I112" t="inlineStr">
        <is>
          <t>04/08/2026</t>
        </is>
      </c>
      <c r="J112" t="inlineStr">
        <is>
          <t xml:space="preserve"> 11/05/2026 -</t>
        </is>
      </c>
      <c r="L112" t="inlineStr">
        <is>
          <t xml:space="preserve"> 09/06/2026 -</t>
        </is>
      </c>
      <c r="M112" t="inlineStr">
        <is>
          <t xml:space="preserve"> 11/05/2026 -</t>
        </is>
      </c>
      <c r="N112" t="n">
        <v>71</v>
      </c>
      <c r="O112" t="inlineStr">
        <is>
          <t>DE ACUERDOS</t>
        </is>
      </c>
      <c r="P112" t="inlineStr">
        <is>
          <t>11/05/2026</t>
        </is>
      </c>
      <c r="Q112" t="inlineStr">
        <is>
          <t>09/06/2026</t>
        </is>
      </c>
      <c r="R112">
        <f>HYPERLINK("https://www.senado.gob.ar/parlamentario/parlamentaria/ordenDelDiaResultadoLink/2026/124"," 124 2026 AP -")</f>
        <v/>
      </c>
      <c r="S112" t="inlineStr">
        <is>
          <t xml:space="preserve">AP  16/07/2026            </t>
        </is>
      </c>
      <c r="T112" t="inlineStr">
        <is>
          <t xml:space="preserve"> - </t>
        </is>
      </c>
      <c r="V112" t="inlineStr">
        <is>
          <t>04/08/2026</t>
        </is>
      </c>
    </row>
    <row r="113">
      <c r="A113" t="inlineStr">
        <is>
          <t>PE</t>
        </is>
      </c>
      <c r="B113">
        <f>HYPERLINK("https://www.senado.gob.ar/parlamentario/comisiones/verExp/136.26/PE/AC","136")</f>
        <v/>
      </c>
      <c r="C113">
        <f>HYPERLINK("https://www.senado.gob.ar/parlamentario/comisiones/verExp/136.26/PE/AC","2026")</f>
        <v/>
      </c>
      <c r="D113" t="inlineStr">
        <is>
          <t>AC</t>
        </is>
      </c>
      <c r="E113" t="inlineStr">
        <is>
          <t>MENSAJE N° 139/26 QUE SOLICITA ACUERDO A FIN DE POSIBILITAR UN NUEVO NOMBRAMIENTO PARA DESIGNAR JUEZ DEL JUZGADO FEDERAL DE PRIMERA INSTANCIA N°2 DE SAN JUAN, PROVINCIA DE SAN JUAN, AL DR. LEOPOLDO JORGE RAGO GALLO.</t>
        </is>
      </c>
      <c r="G113" t="inlineStr">
        <is>
          <t xml:space="preserve"> 13 14/05/2026 -</t>
        </is>
      </c>
      <c r="I113" t="inlineStr">
        <is>
          <t>04/08/2026</t>
        </is>
      </c>
      <c r="J113" t="inlineStr">
        <is>
          <t xml:space="preserve"> 11/05/2026 -</t>
        </is>
      </c>
      <c r="L113" t="inlineStr">
        <is>
          <t xml:space="preserve"> 09/06/2026 -</t>
        </is>
      </c>
      <c r="M113" t="inlineStr">
        <is>
          <t xml:space="preserve"> 11/05/2026 -</t>
        </is>
      </c>
      <c r="N113" t="n">
        <v>71</v>
      </c>
      <c r="O113" t="inlineStr">
        <is>
          <t>DE ACUERDOS</t>
        </is>
      </c>
      <c r="P113" t="inlineStr">
        <is>
          <t>11/05/2026</t>
        </is>
      </c>
      <c r="Q113" t="inlineStr">
        <is>
          <t>09/06/2026</t>
        </is>
      </c>
      <c r="R113">
        <f>HYPERLINK("https://www.senado.gob.ar/parlamentario/parlamentaria/ordenDelDiaResultadoLink/2026/123"," 123 2026 AP -")</f>
        <v/>
      </c>
      <c r="S113" t="inlineStr">
        <is>
          <t xml:space="preserve">AP  16/07/2026            </t>
        </is>
      </c>
      <c r="T113" t="inlineStr">
        <is>
          <t xml:space="preserve"> - </t>
        </is>
      </c>
      <c r="V113" t="inlineStr">
        <is>
          <t>04/08/2026</t>
        </is>
      </c>
    </row>
    <row r="114">
      <c r="A114" t="inlineStr">
        <is>
          <t>PE</t>
        </is>
      </c>
      <c r="B114">
        <f>HYPERLINK("https://www.senado.gob.ar/parlamentario/comisiones/verExp/128.26/PE/AC","128")</f>
        <v/>
      </c>
      <c r="C114">
        <f>HYPERLINK("https://www.senado.gob.ar/parlamentario/comisiones/verExp/128.26/PE/AC","2026")</f>
        <v/>
      </c>
      <c r="D114" t="inlineStr">
        <is>
          <t>AC</t>
        </is>
      </c>
      <c r="E114" t="inlineStr">
        <is>
          <t>MENSAJE N° 136/26 QUE SOLICITA ACUERDO PARA DESIGNAR CONJUECES DE LOS JUZGADOS FEDERALES DE PRIMERA INSTANCIA DE LA JURISDICCIÓN DE LA CÁMARA FEDERAL DE APELACIONES DE CÓRDOBA.</t>
        </is>
      </c>
      <c r="G114" t="inlineStr">
        <is>
          <t xml:space="preserve"> 11 14/05/2026 -</t>
        </is>
      </c>
      <c r="I114" t="inlineStr">
        <is>
          <t>04/08/2026</t>
        </is>
      </c>
      <c r="J114" t="inlineStr">
        <is>
          <t xml:space="preserve"> 24/04/2026 -</t>
        </is>
      </c>
      <c r="L114" t="inlineStr">
        <is>
          <t xml:space="preserve"> 01/07/2026 -</t>
        </is>
      </c>
      <c r="M114" t="inlineStr">
        <is>
          <t xml:space="preserve"> 24/04/2026 -</t>
        </is>
      </c>
      <c r="N114" t="n">
        <v>71</v>
      </c>
      <c r="O114" t="inlineStr">
        <is>
          <t>DE ACUERDOS</t>
        </is>
      </c>
      <c r="P114" t="inlineStr">
        <is>
          <t>24/04/2026</t>
        </is>
      </c>
      <c r="Q114" t="inlineStr">
        <is>
          <t>01/07/2026</t>
        </is>
      </c>
      <c r="R114">
        <f>HYPERLINK("https://www.senado.gob.ar/parlamentario/parlamentaria/ordenDelDiaResultadoLink/2026/199"," 199 2026 AP -")</f>
        <v/>
      </c>
      <c r="S114" t="inlineStr">
        <is>
          <t xml:space="preserve">AP  16/07/2026            </t>
        </is>
      </c>
      <c r="T114" t="inlineStr">
        <is>
          <t xml:space="preserve"> - </t>
        </is>
      </c>
      <c r="V114" t="inlineStr">
        <is>
          <t>04/08/2026</t>
        </is>
      </c>
    </row>
    <row r="115">
      <c r="A115" t="inlineStr">
        <is>
          <t>PE</t>
        </is>
      </c>
      <c r="B115">
        <f>HYPERLINK("https://www.senado.gob.ar/parlamentario/comisiones/verExp/127.26/PE/AC","127")</f>
        <v/>
      </c>
      <c r="C115">
        <f>HYPERLINK("https://www.senado.gob.ar/parlamentario/comisiones/verExp/127.26/PE/AC","2026")</f>
        <v/>
      </c>
      <c r="D115" t="inlineStr">
        <is>
          <t>AC</t>
        </is>
      </c>
      <c r="E115" t="inlineStr">
        <is>
          <t>MENSAJE N° 135/26 QUE SOLICITA ACUERDO A FIN DE POSIBILITAR UN NUEVO NOMBRAMIENTO DE LA VOCAL DE LA CAMARA NACIONAL DE APELACIONES EN LO COMERCIAL DE LA CAPITAL FEDERAL, SALA B, A LA DRA. MATILDE EVANGELINA BALLERINI.</t>
        </is>
      </c>
      <c r="G115" t="inlineStr">
        <is>
          <t xml:space="preserve"> 11 14/05/2026 -</t>
        </is>
      </c>
      <c r="J115" t="inlineStr">
        <is>
          <t xml:space="preserve"> 24/04/2026 -</t>
        </is>
      </c>
      <c r="L115" t="inlineStr">
        <is>
          <t xml:space="preserve"> 05/08/2026 -</t>
        </is>
      </c>
      <c r="M115" t="inlineStr">
        <is>
          <t xml:space="preserve"> 24/04/2026 -</t>
        </is>
      </c>
      <c r="N115" t="n">
        <v>71</v>
      </c>
      <c r="O115" t="inlineStr">
        <is>
          <t>DE ACUERDOS</t>
        </is>
      </c>
      <c r="P115" t="inlineStr">
        <is>
          <t>24/04/2026</t>
        </is>
      </c>
      <c r="Q115" t="inlineStr">
        <is>
          <t>05/08/2026</t>
        </is>
      </c>
      <c r="R115">
        <f>HYPERLINK("https://www.senado.gob.ar/parlamentario/parlamentaria/ordenDelDiaResultadoLink/2026/249"," 249 2026 AP -")</f>
        <v/>
      </c>
      <c r="S115" t="inlineStr">
        <is>
          <t xml:space="preserve">AP  27/08/2026            </t>
        </is>
      </c>
      <c r="T115" t="inlineStr">
        <is>
          <t xml:space="preserve"> - </t>
        </is>
      </c>
    </row>
    <row r="116">
      <c r="A116" t="inlineStr">
        <is>
          <t>PE</t>
        </is>
      </c>
      <c r="B116">
        <f>HYPERLINK("https://www.senado.gob.ar/parlamentario/comisiones/verExp/126.26/PE/AC","126")</f>
        <v/>
      </c>
      <c r="C116">
        <f>HYPERLINK("https://www.senado.gob.ar/parlamentario/comisiones/verExp/126.26/PE/AC","2026")</f>
        <v/>
      </c>
      <c r="D116" t="inlineStr">
        <is>
          <t>AC</t>
        </is>
      </c>
      <c r="E116" t="inlineStr">
        <is>
          <t>MENSAJE N° 134/26 QUE SOLICITA ACUERDO PARA DESIGNAR FISCAL ANTE EL JUZGADO FEDERAL DE PRIMERA INSTANCIA DE GUALEGUAYCHÚ, PROV. DE ENTRE RÍOS, AL DR. PEDRO MARIANO REBOLLO.</t>
        </is>
      </c>
      <c r="G116" t="inlineStr">
        <is>
          <t xml:space="preserve"> 11 14/05/2026 -</t>
        </is>
      </c>
      <c r="J116" t="inlineStr">
        <is>
          <t xml:space="preserve"> 24/04/2026 -</t>
        </is>
      </c>
      <c r="L116" t="inlineStr">
        <is>
          <t xml:space="preserve"> 05/08/2026 -</t>
        </is>
      </c>
      <c r="M116" t="inlineStr">
        <is>
          <t xml:space="preserve"> 24/04/2026 -</t>
        </is>
      </c>
      <c r="N116" t="n">
        <v>71</v>
      </c>
      <c r="O116" t="inlineStr">
        <is>
          <t>DE ACUERDOS</t>
        </is>
      </c>
      <c r="P116" t="inlineStr">
        <is>
          <t>24/04/2026</t>
        </is>
      </c>
      <c r="Q116" t="inlineStr">
        <is>
          <t>05/08/2026</t>
        </is>
      </c>
      <c r="R116">
        <f>HYPERLINK("https://www.senado.gob.ar/parlamentario/parlamentaria/ordenDelDiaResultadoLink/2026/248"," 248 2026 AP -")</f>
        <v/>
      </c>
      <c r="S116" t="inlineStr">
        <is>
          <t xml:space="preserve">AP  27/08/2026            </t>
        </is>
      </c>
      <c r="T116" t="inlineStr">
        <is>
          <t xml:space="preserve"> - </t>
        </is>
      </c>
    </row>
    <row r="117">
      <c r="A117" t="inlineStr">
        <is>
          <t>PE</t>
        </is>
      </c>
      <c r="B117">
        <f>HYPERLINK("https://www.senado.gob.ar/parlamentario/comisiones/verExp/125.26/PE/AC","125")</f>
        <v/>
      </c>
      <c r="C117">
        <f>HYPERLINK("https://www.senado.gob.ar/parlamentario/comisiones/verExp/125.26/PE/AC","2026")</f>
        <v/>
      </c>
      <c r="D117" t="inlineStr">
        <is>
          <t>AC</t>
        </is>
      </c>
      <c r="E117" t="inlineStr">
        <is>
          <t>MENSAJE N° 133/26 QUE SOLICITA ACUERDO PARA DESIGNAR FISCAL GENERAL ANTE LOS TRIBUNALES ORALES EN LO PENAL ECONÓMICO DE LA CAPITAL FEDERAL FISCALÍA N° 3, A LA DRA. NATALIA CECILIA CREDE.</t>
        </is>
      </c>
      <c r="G117" t="inlineStr">
        <is>
          <t xml:space="preserve"> 11 14/05/2026 -</t>
        </is>
      </c>
      <c r="J117" t="inlineStr">
        <is>
          <t xml:space="preserve"> 24/04/2026 -</t>
        </is>
      </c>
      <c r="L117" t="inlineStr">
        <is>
          <t xml:space="preserve"> 12/08/2026 -</t>
        </is>
      </c>
      <c r="M117" t="inlineStr">
        <is>
          <t xml:space="preserve"> 24/04/2026 -</t>
        </is>
      </c>
      <c r="N117" t="n">
        <v>71</v>
      </c>
      <c r="O117" t="inlineStr">
        <is>
          <t>DE ACUERDOS</t>
        </is>
      </c>
      <c r="P117" t="inlineStr">
        <is>
          <t>24/04/2026</t>
        </is>
      </c>
      <c r="Q117" t="inlineStr">
        <is>
          <t>12/08/2026</t>
        </is>
      </c>
      <c r="R117">
        <f>HYPERLINK("https://www.senado.gob.ar/parlamentario/parlamentaria/ordenDelDiaResultadoLink/2026/285"," 285 2026 AP -")</f>
        <v/>
      </c>
      <c r="S117" t="inlineStr">
        <is>
          <t xml:space="preserve">AP  27/08/2026            </t>
        </is>
      </c>
      <c r="T117" t="inlineStr">
        <is>
          <t xml:space="preserve"> - </t>
        </is>
      </c>
    </row>
    <row r="118">
      <c r="A118" t="inlineStr">
        <is>
          <t>PE</t>
        </is>
      </c>
      <c r="B118">
        <f>HYPERLINK("https://www.senado.gob.ar/parlamentario/comisiones/verExp/124.26/PE/AC","124")</f>
        <v/>
      </c>
      <c r="C118">
        <f>HYPERLINK("https://www.senado.gob.ar/parlamentario/comisiones/verExp/124.26/PE/AC","2026")</f>
        <v/>
      </c>
      <c r="D118" t="inlineStr">
        <is>
          <t>AC</t>
        </is>
      </c>
      <c r="E118" t="inlineStr">
        <is>
          <t>MENSAJE N° 132/26 QUE SOLICITA ACUERDO PARA DESIGNAR FISCAL GENERAL ANTE LOS TRIBUNALES ORALES EN LO PENAL ECONÓMICO DE LA CAPITAL FEDERAL, FISCALÍA N° 4, A LA DRA. MARÍA ÁNGELES RAMOS.</t>
        </is>
      </c>
      <c r="G118" t="inlineStr">
        <is>
          <t xml:space="preserve"> 11 14/05/2026 -</t>
        </is>
      </c>
      <c r="J118" t="inlineStr">
        <is>
          <t xml:space="preserve"> 24/04/2026 -</t>
        </is>
      </c>
      <c r="L118" t="inlineStr">
        <is>
          <t xml:space="preserve"> 06/08/2026 -</t>
        </is>
      </c>
      <c r="M118" t="inlineStr">
        <is>
          <t xml:space="preserve"> 24/04/2026 -</t>
        </is>
      </c>
      <c r="N118" t="n">
        <v>71</v>
      </c>
      <c r="O118" t="inlineStr">
        <is>
          <t>DE ACUERDOS</t>
        </is>
      </c>
      <c r="P118" t="inlineStr">
        <is>
          <t>24/04/2026</t>
        </is>
      </c>
      <c r="Q118" t="inlineStr">
        <is>
          <t>06/08/2026</t>
        </is>
      </c>
      <c r="R118">
        <f>HYPERLINK("https://www.senado.gob.ar/parlamentario/parlamentaria/ordenDelDiaResultadoLink/2026/265"," 265 2026 AP -")</f>
        <v/>
      </c>
      <c r="S118" t="inlineStr">
        <is>
          <t xml:space="preserve">AP  27/08/2026            </t>
        </is>
      </c>
      <c r="T118" t="inlineStr">
        <is>
          <t xml:space="preserve"> - </t>
        </is>
      </c>
    </row>
    <row r="119">
      <c r="A119" t="inlineStr">
        <is>
          <t>PE</t>
        </is>
      </c>
      <c r="B119">
        <f>HYPERLINK("https://www.senado.gob.ar/parlamentario/comisiones/verExp/123.26/PE/AC","123")</f>
        <v/>
      </c>
      <c r="C119">
        <f>HYPERLINK("https://www.senado.gob.ar/parlamentario/comisiones/verExp/123.26/PE/AC","2026")</f>
        <v/>
      </c>
      <c r="D119" t="inlineStr">
        <is>
          <t>AC</t>
        </is>
      </c>
      <c r="E119" t="inlineStr">
        <is>
          <t xml:space="preserve">MENSAJE N° 131/26 QUE SOLICITA ACUERDO PARA DESIGNAR FISCAL GENERAL ANTE LOS TRIBUNALES ORALES EN LO PENAL ECONÓMICO DE LA CAPITAL FEDERAL, FISCALÍA N° 2, AL DR. SANTIAGO ROLDAN.
</t>
        </is>
      </c>
      <c r="G119" t="inlineStr">
        <is>
          <t xml:space="preserve"> 11 14/05/2026 -</t>
        </is>
      </c>
      <c r="J119" t="inlineStr">
        <is>
          <t xml:space="preserve"> 24/04/2026 -</t>
        </is>
      </c>
      <c r="L119" t="inlineStr">
        <is>
          <t xml:space="preserve"> 06/08/2026 -</t>
        </is>
      </c>
      <c r="M119" t="inlineStr">
        <is>
          <t xml:space="preserve"> 24/04/2026 -</t>
        </is>
      </c>
      <c r="N119" t="n">
        <v>71</v>
      </c>
      <c r="O119" t="inlineStr">
        <is>
          <t>DE ACUERDOS</t>
        </is>
      </c>
      <c r="P119" t="inlineStr">
        <is>
          <t>24/04/2026</t>
        </is>
      </c>
      <c r="Q119" t="inlineStr">
        <is>
          <t>06/08/2026</t>
        </is>
      </c>
      <c r="R119">
        <f>HYPERLINK("https://www.senado.gob.ar/parlamentario/parlamentaria/ordenDelDiaResultadoLink/2026/264"," 264 2026 AP -")</f>
        <v/>
      </c>
      <c r="S119" t="inlineStr">
        <is>
          <t xml:space="preserve">AP  27/08/2026            </t>
        </is>
      </c>
      <c r="T119" t="inlineStr">
        <is>
          <t xml:space="preserve"> - </t>
        </is>
      </c>
    </row>
    <row r="120">
      <c r="A120" t="inlineStr">
        <is>
          <t>PE</t>
        </is>
      </c>
      <c r="B120">
        <f>HYPERLINK("https://www.senado.gob.ar/parlamentario/comisiones/verExp/122.26/PE/AC","122")</f>
        <v/>
      </c>
      <c r="C120">
        <f>HYPERLINK("https://www.senado.gob.ar/parlamentario/comisiones/verExp/122.26/PE/AC","2026")</f>
        <v/>
      </c>
      <c r="D120" t="inlineStr">
        <is>
          <t>AC</t>
        </is>
      </c>
      <c r="E120" t="inlineStr">
        <is>
          <t>MENSAJE N° 130/26 QUE SOLICITA ACUERDO PARA DESIGNAR JUEZ DEL JUZGADO NACIONAL DE PRIMERA INSTANCIA EN LO COMERCIAL N° 10 DE LA CAPITAL FEDERAL, AL DR. GUSTAVO ALEJANDRO ROQUE CULTRARO.</t>
        </is>
      </c>
      <c r="G120" t="inlineStr">
        <is>
          <t xml:space="preserve"> 11 14/05/2026 -</t>
        </is>
      </c>
      <c r="J120" t="inlineStr">
        <is>
          <t xml:space="preserve"> 24/04/2026 -</t>
        </is>
      </c>
      <c r="L120" t="inlineStr">
        <is>
          <t xml:space="preserve"> 06/08/2026 -</t>
        </is>
      </c>
      <c r="M120" t="inlineStr">
        <is>
          <t xml:space="preserve"> 24/04/2026 -</t>
        </is>
      </c>
      <c r="N120" t="n">
        <v>71</v>
      </c>
      <c r="O120" t="inlineStr">
        <is>
          <t>DE ACUERDOS</t>
        </is>
      </c>
      <c r="P120" t="inlineStr">
        <is>
          <t>24/04/2026</t>
        </is>
      </c>
      <c r="Q120" t="inlineStr">
        <is>
          <t>06/08/2026</t>
        </is>
      </c>
      <c r="R120">
        <f>HYPERLINK("https://www.senado.gob.ar/parlamentario/parlamentaria/ordenDelDiaResultadoLink/2026/263"," 263 2026 AP -")</f>
        <v/>
      </c>
      <c r="S120" t="inlineStr">
        <is>
          <t xml:space="preserve">AP  27/08/2026            </t>
        </is>
      </c>
      <c r="T120" t="inlineStr">
        <is>
          <t xml:space="preserve"> - </t>
        </is>
      </c>
    </row>
    <row r="121">
      <c r="A121" t="inlineStr">
        <is>
          <t>PE</t>
        </is>
      </c>
      <c r="B121">
        <f>HYPERLINK("https://www.senado.gob.ar/parlamentario/comisiones/verExp/121.26/PE/AC","121")</f>
        <v/>
      </c>
      <c r="C121">
        <f>HYPERLINK("https://www.senado.gob.ar/parlamentario/comisiones/verExp/121.26/PE/AC","2026")</f>
        <v/>
      </c>
      <c r="D121" t="inlineStr">
        <is>
          <t>AC</t>
        </is>
      </c>
      <c r="E121" t="inlineStr">
        <is>
          <t>MENSAJE N° 129/26 QUE SOLICITA ACUERDO PARA DESIGNAR JUEZ DE CAMARA DEL TRIBUNAL ORAL EN LO CRIMINAL FEDERAL N° 2 DE SAN MARTIN, PROV. DE BUENOS AIRES, AL DR. BERNARDO MARIA RODRIGUEZ PALMA.</t>
        </is>
      </c>
      <c r="G121" t="inlineStr">
        <is>
          <t xml:space="preserve"> 11 14/05/2026 -</t>
        </is>
      </c>
      <c r="I121" t="inlineStr">
        <is>
          <t>04/08/2026</t>
        </is>
      </c>
      <c r="J121" t="inlineStr">
        <is>
          <t xml:space="preserve"> 24/04/2026 -</t>
        </is>
      </c>
      <c r="L121" t="inlineStr">
        <is>
          <t xml:space="preserve"> 01/07/2026 -</t>
        </is>
      </c>
      <c r="M121" t="inlineStr">
        <is>
          <t xml:space="preserve"> 24/04/2026 -</t>
        </is>
      </c>
      <c r="N121" t="n">
        <v>71</v>
      </c>
      <c r="O121" t="inlineStr">
        <is>
          <t>DE ACUERDOS</t>
        </is>
      </c>
      <c r="P121" t="inlineStr">
        <is>
          <t>24/04/2026</t>
        </is>
      </c>
      <c r="Q121" t="inlineStr">
        <is>
          <t>01/07/2026</t>
        </is>
      </c>
      <c r="R121">
        <f>HYPERLINK("https://www.senado.gob.ar/parlamentario/parlamentaria/ordenDelDiaResultadoLink/2026/198"," 198 2026 AP -")</f>
        <v/>
      </c>
      <c r="S121" t="inlineStr">
        <is>
          <t xml:space="preserve">AP  16/07/2026            </t>
        </is>
      </c>
      <c r="T121" t="inlineStr">
        <is>
          <t xml:space="preserve"> - </t>
        </is>
      </c>
      <c r="V121" t="inlineStr">
        <is>
          <t>04/08/2026</t>
        </is>
      </c>
    </row>
    <row r="122">
      <c r="A122" t="inlineStr">
        <is>
          <t>PE</t>
        </is>
      </c>
      <c r="B122">
        <f>HYPERLINK("https://www.senado.gob.ar/parlamentario/comisiones/verExp/120.26/PE/AC","120")</f>
        <v/>
      </c>
      <c r="C122">
        <f>HYPERLINK("https://www.senado.gob.ar/parlamentario/comisiones/verExp/120.26/PE/AC","2026")</f>
        <v/>
      </c>
      <c r="D122" t="inlineStr">
        <is>
          <t>AC</t>
        </is>
      </c>
      <c r="E122" t="inlineStr">
        <is>
          <t>MENSAJE N° 128/26 QUE SOLICITA ACUERDO PARA DESIGNAR JUEZ DEL JUZGADO NACIONAL EN LO CRIMINAL Y CORRECCIONAL N° 41 DE LA CAPITAL FEDERAL, AL DR. FERNANDO CARLOS DAMIAN PASCUAL.</t>
        </is>
      </c>
      <c r="G122" t="inlineStr">
        <is>
          <t xml:space="preserve"> 11 14/05/2026 -</t>
        </is>
      </c>
      <c r="J122" t="inlineStr">
        <is>
          <t xml:space="preserve"> 24/04/2026 -</t>
        </is>
      </c>
      <c r="L122" t="inlineStr">
        <is>
          <t xml:space="preserve"> 05/08/2026 -</t>
        </is>
      </c>
      <c r="M122" t="inlineStr">
        <is>
          <t xml:space="preserve"> 24/04/2026 -</t>
        </is>
      </c>
      <c r="N122" t="n">
        <v>71</v>
      </c>
      <c r="O122" t="inlineStr">
        <is>
          <t>DE ACUERDOS</t>
        </is>
      </c>
      <c r="P122" t="inlineStr">
        <is>
          <t>24/04/2026</t>
        </is>
      </c>
      <c r="Q122" t="inlineStr">
        <is>
          <t>05/08/2026</t>
        </is>
      </c>
      <c r="R122">
        <f>HYPERLINK("https://www.senado.gob.ar/parlamentario/parlamentaria/ordenDelDiaResultadoLink/2026/247"," 247 2026 AP -")</f>
        <v/>
      </c>
      <c r="S122" t="inlineStr">
        <is>
          <t xml:space="preserve">AP  27/08/2026            </t>
        </is>
      </c>
      <c r="T122" t="inlineStr">
        <is>
          <t xml:space="preserve"> - </t>
        </is>
      </c>
    </row>
    <row r="123">
      <c r="A123" t="inlineStr">
        <is>
          <t>PE</t>
        </is>
      </c>
      <c r="B123">
        <f>HYPERLINK("https://www.senado.gob.ar/parlamentario/comisiones/verExp/119.26/PE/AC","119")</f>
        <v/>
      </c>
      <c r="C123">
        <f>HYPERLINK("https://www.senado.gob.ar/parlamentario/comisiones/verExp/119.26/PE/AC","2026")</f>
        <v/>
      </c>
      <c r="D123" t="inlineStr">
        <is>
          <t>AC</t>
        </is>
      </c>
      <c r="E123" t="inlineStr">
        <is>
          <t>MENSAJE N° 127/26 QUE SOLICITA ACUERDO PARA DESIGNAR JUEZA DE CAMARA DEL TRIBUNAL ORAL EN LO CRIMINAL Y CORRECCIONAL N° 25 DE LA CAPITAL FEDERAL, A LA DRA. MARIANA SALDUNA.</t>
        </is>
      </c>
      <c r="G123" t="inlineStr">
        <is>
          <t xml:space="preserve"> 11 14/05/2026 -</t>
        </is>
      </c>
      <c r="J123" t="inlineStr">
        <is>
          <t xml:space="preserve"> 24/04/2026 -</t>
        </is>
      </c>
      <c r="L123" t="inlineStr">
        <is>
          <t xml:space="preserve"> 12/08/2026 -</t>
        </is>
      </c>
      <c r="M123" t="inlineStr">
        <is>
          <t xml:space="preserve"> 24/04/2026 -</t>
        </is>
      </c>
      <c r="N123" t="n">
        <v>71</v>
      </c>
      <c r="O123" t="inlineStr">
        <is>
          <t>DE ACUERDOS</t>
        </is>
      </c>
      <c r="P123" t="inlineStr">
        <is>
          <t>24/04/2026</t>
        </is>
      </c>
      <c r="Q123" t="inlineStr">
        <is>
          <t>12/08/2026</t>
        </is>
      </c>
      <c r="R123">
        <f>HYPERLINK("https://www.senado.gob.ar/parlamentario/parlamentaria/ordenDelDiaResultadoLink/2026/284"," 284 2026 AP -")</f>
        <v/>
      </c>
      <c r="S123" t="inlineStr">
        <is>
          <t xml:space="preserve">AP  27/08/2026            </t>
        </is>
      </c>
      <c r="T123" t="inlineStr">
        <is>
          <t xml:space="preserve"> - </t>
        </is>
      </c>
    </row>
    <row r="124">
      <c r="A124" t="inlineStr">
        <is>
          <t>PE</t>
        </is>
      </c>
      <c r="B124">
        <f>HYPERLINK("https://www.senado.gob.ar/parlamentario/comisiones/verExp/118.26/PE/AC","118")</f>
        <v/>
      </c>
      <c r="C124">
        <f>HYPERLINK("https://www.senado.gob.ar/parlamentario/comisiones/verExp/118.26/PE/AC","2026")</f>
        <v/>
      </c>
      <c r="D124" t="inlineStr">
        <is>
          <t>AC</t>
        </is>
      </c>
      <c r="E124" t="inlineStr">
        <is>
          <t>MENSAJE N° 126/26 QUE SOLICITA ACUERDO PARA DESIGNAR JUEZA DE CAMARA DEL TRIBUNAL ORAL EN LO CRIMINAL Y CORRECCIONAL N° 16 DE LA CAPITAL FEDERAL, A LA DRA. VANESA SILVANA ALFARO.</t>
        </is>
      </c>
      <c r="G124" t="inlineStr">
        <is>
          <t xml:space="preserve"> 11 14/05/2026 -</t>
        </is>
      </c>
      <c r="J124" t="inlineStr">
        <is>
          <t xml:space="preserve"> 24/04/2026 -</t>
        </is>
      </c>
      <c r="L124" t="inlineStr">
        <is>
          <t xml:space="preserve"> 12/08/2026 -</t>
        </is>
      </c>
      <c r="M124" t="inlineStr">
        <is>
          <t xml:space="preserve"> 24/04/2026 -</t>
        </is>
      </c>
      <c r="N124" t="n">
        <v>71</v>
      </c>
      <c r="O124" t="inlineStr">
        <is>
          <t>DE ACUERDOS</t>
        </is>
      </c>
      <c r="P124" t="inlineStr">
        <is>
          <t>24/04/2026</t>
        </is>
      </c>
      <c r="Q124" t="inlineStr">
        <is>
          <t>12/08/2026</t>
        </is>
      </c>
      <c r="R124">
        <f>HYPERLINK("https://www.senado.gob.ar/parlamentario/parlamentaria/ordenDelDiaResultadoLink/2026/283"," 283 2026 AP -")</f>
        <v/>
      </c>
      <c r="S124" t="inlineStr">
        <is>
          <t xml:space="preserve">AP  27/08/2026            </t>
        </is>
      </c>
      <c r="T124" t="inlineStr">
        <is>
          <t xml:space="preserve"> - </t>
        </is>
      </c>
    </row>
    <row r="125">
      <c r="A125" t="inlineStr">
        <is>
          <t>PE</t>
        </is>
      </c>
      <c r="B125">
        <f>HYPERLINK("https://www.senado.gob.ar/parlamentario/comisiones/verExp/117.26/PE/AC","117")</f>
        <v/>
      </c>
      <c r="C125">
        <f>HYPERLINK("https://www.senado.gob.ar/parlamentario/comisiones/verExp/117.26/PE/AC","2026")</f>
        <v/>
      </c>
      <c r="D125" t="inlineStr">
        <is>
          <t>AC</t>
        </is>
      </c>
      <c r="E125" t="inlineStr">
        <is>
          <t>MENSAJE N° 125/26 QUE SOLICITA ACUERDO PARA DESIGNAR JUEZA DEL JUZGADO NACIONAL DE PRIMERA INSTANCIA EN LO CIVIL N° 27 DE LA CAPITAL FEDERAL, A LA DRA. BARBARA RASTELLINO.</t>
        </is>
      </c>
      <c r="G125" t="inlineStr">
        <is>
          <t xml:space="preserve"> 11 14/05/2026 -</t>
        </is>
      </c>
      <c r="J125" t="inlineStr">
        <is>
          <t xml:space="preserve"> 24/04/2026 -</t>
        </is>
      </c>
      <c r="L125" t="inlineStr">
        <is>
          <t xml:space="preserve"> 06/08/2026 -</t>
        </is>
      </c>
      <c r="M125" t="inlineStr">
        <is>
          <t xml:space="preserve"> 24/04/2026 -</t>
        </is>
      </c>
      <c r="N125" t="n">
        <v>71</v>
      </c>
      <c r="O125" t="inlineStr">
        <is>
          <t>DE ACUERDOS</t>
        </is>
      </c>
      <c r="P125" t="inlineStr">
        <is>
          <t>24/04/2026</t>
        </is>
      </c>
      <c r="Q125" t="inlineStr">
        <is>
          <t>06/08/2026</t>
        </is>
      </c>
      <c r="R125">
        <f>HYPERLINK("https://www.senado.gob.ar/parlamentario/parlamentaria/ordenDelDiaResultadoLink/2026/262"," 262 2026 AP -")</f>
        <v/>
      </c>
      <c r="S125" t="inlineStr">
        <is>
          <t xml:space="preserve">AP  27/08/2026            </t>
        </is>
      </c>
      <c r="T125" t="inlineStr">
        <is>
          <t xml:space="preserve"> - </t>
        </is>
      </c>
    </row>
    <row r="126">
      <c r="A126" t="inlineStr">
        <is>
          <t>PE</t>
        </is>
      </c>
      <c r="B126">
        <f>HYPERLINK("https://www.senado.gob.ar/parlamentario/comisiones/verExp/116.26/PE/AC","116")</f>
        <v/>
      </c>
      <c r="C126">
        <f>HYPERLINK("https://www.senado.gob.ar/parlamentario/comisiones/verExp/116.26/PE/AC","2026")</f>
        <v/>
      </c>
      <c r="D126" t="inlineStr">
        <is>
          <t>AC</t>
        </is>
      </c>
      <c r="E126" t="inlineStr">
        <is>
          <t>MENSAJE N° 124/26 QUE SOLICITA ACUERDO PARA DESIGNAR JUEZ DEL JUZGADO NACIONAL EN LO CRIMINAL Y CORRECCIONAL N° 3 DE LA CAPITAL FEDERAL, AL DR. JAVIER RODRIGO PEREYRA.</t>
        </is>
      </c>
      <c r="G126" t="inlineStr">
        <is>
          <t xml:space="preserve"> 11 14/05/2026 -</t>
        </is>
      </c>
      <c r="J126" t="inlineStr">
        <is>
          <t xml:space="preserve"> 24/04/2026 -</t>
        </is>
      </c>
      <c r="L126" t="inlineStr">
        <is>
          <t xml:space="preserve"> 12/08/2026 -</t>
        </is>
      </c>
      <c r="M126" t="inlineStr">
        <is>
          <t xml:space="preserve"> 24/04/2026 -</t>
        </is>
      </c>
      <c r="N126" t="n">
        <v>71</v>
      </c>
      <c r="O126" t="inlineStr">
        <is>
          <t>DE ACUERDOS</t>
        </is>
      </c>
      <c r="P126" t="inlineStr">
        <is>
          <t>24/04/2026</t>
        </is>
      </c>
      <c r="Q126" t="inlineStr">
        <is>
          <t>12/08/2026</t>
        </is>
      </c>
      <c r="R126">
        <f>HYPERLINK("https://www.senado.gob.ar/parlamentario/parlamentaria/ordenDelDiaResultadoLink/2026/282"," 282 2026 AP -")</f>
        <v/>
      </c>
      <c r="S126" t="inlineStr">
        <is>
          <t xml:space="preserve">AP  27/08/2026            </t>
        </is>
      </c>
      <c r="T126" t="inlineStr">
        <is>
          <t xml:space="preserve"> - </t>
        </is>
      </c>
    </row>
    <row r="127">
      <c r="A127" t="inlineStr">
        <is>
          <t>PE</t>
        </is>
      </c>
      <c r="B127">
        <f>HYPERLINK("https://www.senado.gob.ar/parlamentario/comisiones/verExp/115.26/PE/AC","115")</f>
        <v/>
      </c>
      <c r="C127">
        <f>HYPERLINK("https://www.senado.gob.ar/parlamentario/comisiones/verExp/115.26/PE/AC","2026")</f>
        <v/>
      </c>
      <c r="D127" t="inlineStr">
        <is>
          <t>AC</t>
        </is>
      </c>
      <c r="E127" t="inlineStr">
        <is>
          <t>MENSAJE N° 123/26 QUE SOLICITA ACUERDO PARA DESIGNAR VOCAL DE LA CAMARA NACIONAL DE APELACIONES EN LO CIVIL DE LA CAPITAL FEDERAL, SALA D, AL DR. AGUSTIN RAUL RUBIERO.</t>
        </is>
      </c>
      <c r="G127" t="inlineStr">
        <is>
          <t xml:space="preserve"> 11 14/05/2026 -</t>
        </is>
      </c>
      <c r="J127" t="inlineStr">
        <is>
          <t xml:space="preserve"> 24/04/2026 -</t>
        </is>
      </c>
      <c r="L127" t="inlineStr">
        <is>
          <t xml:space="preserve"> 05/08/2026 -</t>
        </is>
      </c>
      <c r="M127" t="inlineStr">
        <is>
          <t xml:space="preserve"> 24/04/2026 -</t>
        </is>
      </c>
      <c r="N127" t="n">
        <v>71</v>
      </c>
      <c r="O127" t="inlineStr">
        <is>
          <t>DE ACUERDOS</t>
        </is>
      </c>
      <c r="P127" t="inlineStr">
        <is>
          <t>24/04/2026</t>
        </is>
      </c>
      <c r="Q127" t="inlineStr">
        <is>
          <t>05/08/2026</t>
        </is>
      </c>
      <c r="R127">
        <f>HYPERLINK("https://www.senado.gob.ar/parlamentario/parlamentaria/ordenDelDiaResultadoLink/2026/246"," 246 2026 AP -")</f>
        <v/>
      </c>
      <c r="S127" t="inlineStr">
        <is>
          <t xml:space="preserve">AP  27/08/2026            </t>
        </is>
      </c>
      <c r="T127" t="inlineStr">
        <is>
          <t xml:space="preserve"> - </t>
        </is>
      </c>
    </row>
    <row r="128">
      <c r="A128" t="inlineStr">
        <is>
          <t>PE</t>
        </is>
      </c>
      <c r="B128">
        <f>HYPERLINK("https://www.senado.gob.ar/parlamentario/comisiones/verExp/114.26/PE/AC","114")</f>
        <v/>
      </c>
      <c r="C128">
        <f>HYPERLINK("https://www.senado.gob.ar/parlamentario/comisiones/verExp/114.26/PE/AC","2026")</f>
        <v/>
      </c>
      <c r="D128" t="inlineStr">
        <is>
          <t>AC</t>
        </is>
      </c>
      <c r="E128" t="inlineStr">
        <is>
          <t>MENSAJE N° 122/26 QUE SOLICITA ACUERDO PARA DESIGNAR VOCAL DE LA CAMARA FEDERAL DE LA SEGURIDAD SOCIAL, SALA III, A LA DRA. ALICIA ISABEL BRAGHINI.</t>
        </is>
      </c>
      <c r="G128" t="inlineStr">
        <is>
          <t xml:space="preserve"> 11 14/05/2026 -</t>
        </is>
      </c>
      <c r="J128" t="inlineStr">
        <is>
          <t xml:space="preserve"> 24/04/2026 -</t>
        </is>
      </c>
      <c r="L128" t="inlineStr">
        <is>
          <t xml:space="preserve"> 06/08/2026 -</t>
        </is>
      </c>
      <c r="M128" t="inlineStr">
        <is>
          <t xml:space="preserve"> 24/04/2026 -</t>
        </is>
      </c>
      <c r="N128" t="n">
        <v>71</v>
      </c>
      <c r="O128" t="inlineStr">
        <is>
          <t>DE ACUERDOS</t>
        </is>
      </c>
      <c r="P128" t="inlineStr">
        <is>
          <t>24/04/2026</t>
        </is>
      </c>
      <c r="Q128" t="inlineStr">
        <is>
          <t>06/08/2026</t>
        </is>
      </c>
      <c r="R128">
        <f>HYPERLINK("https://www.senado.gob.ar/parlamentario/parlamentaria/ordenDelDiaResultadoLink/2026/261"," 261 2026 AP -")</f>
        <v/>
      </c>
      <c r="S128" t="inlineStr">
        <is>
          <t xml:space="preserve">AP  27/08/2026            </t>
        </is>
      </c>
      <c r="T128" t="inlineStr">
        <is>
          <t xml:space="preserve"> - </t>
        </is>
      </c>
    </row>
    <row r="129">
      <c r="A129" t="inlineStr">
        <is>
          <t>PE</t>
        </is>
      </c>
      <c r="B129">
        <f>HYPERLINK("https://www.senado.gob.ar/parlamentario/comisiones/verExp/113.26/PE/AC","113")</f>
        <v/>
      </c>
      <c r="C129">
        <f>HYPERLINK("https://www.senado.gob.ar/parlamentario/comisiones/verExp/113.26/PE/AC","2026")</f>
        <v/>
      </c>
      <c r="D129" t="inlineStr">
        <is>
          <t>AC</t>
        </is>
      </c>
      <c r="E129" t="inlineStr">
        <is>
          <t>MENSAJE N° 121/26 QUE SOLICITA ACUERDO PARA DESIGNAR JUEZA DEL JUZGADO NACIONAL DE PRIMERA INSTANCIA EN LO CIVIL N° 66 DE LA CAPITAL FEDERAL, A LA DRA. FLORENCIA INÉS CORDOBA.</t>
        </is>
      </c>
      <c r="G129" t="inlineStr">
        <is>
          <t xml:space="preserve"> 11 14/05/2026 -</t>
        </is>
      </c>
      <c r="J129" t="inlineStr">
        <is>
          <t xml:space="preserve"> 24/04/2026 -</t>
        </is>
      </c>
      <c r="L129" t="inlineStr">
        <is>
          <t xml:space="preserve"> 06/08/2026 -</t>
        </is>
      </c>
      <c r="M129" t="inlineStr">
        <is>
          <t xml:space="preserve"> 24/04/2026 -</t>
        </is>
      </c>
      <c r="N129" t="n">
        <v>71</v>
      </c>
      <c r="O129" t="inlineStr">
        <is>
          <t>DE ACUERDOS</t>
        </is>
      </c>
      <c r="P129" t="inlineStr">
        <is>
          <t>24/04/2026</t>
        </is>
      </c>
      <c r="Q129" t="inlineStr">
        <is>
          <t>06/08/2026</t>
        </is>
      </c>
      <c r="R129">
        <f>HYPERLINK("https://www.senado.gob.ar/parlamentario/parlamentaria/ordenDelDiaResultadoLink/2026/260"," 260 2026 AP -")</f>
        <v/>
      </c>
      <c r="S129" t="inlineStr">
        <is>
          <t xml:space="preserve">AP  27/08/2026            </t>
        </is>
      </c>
      <c r="T129" t="inlineStr">
        <is>
          <t xml:space="preserve"> - </t>
        </is>
      </c>
    </row>
    <row r="130">
      <c r="A130" t="inlineStr">
        <is>
          <t>PE</t>
        </is>
      </c>
      <c r="B130">
        <f>HYPERLINK("https://www.senado.gob.ar/parlamentario/comisiones/verExp/112.26/PE/AC","112")</f>
        <v/>
      </c>
      <c r="C130">
        <f>HYPERLINK("https://www.senado.gob.ar/parlamentario/comisiones/verExp/112.26/PE/AC","2026")</f>
        <v/>
      </c>
      <c r="D130" t="inlineStr">
        <is>
          <t>AC</t>
        </is>
      </c>
      <c r="E130" t="inlineStr">
        <is>
          <t>MENSAJE N° 120/26 QUE SOLICITA ACUERDO PARA DESIGNAR JUEZA DEL JUZGADO NACIONAL DE PRIMERA INSTANCIA EN LO CIVIL N° 9 DE LA CAPITAL FEDERAL, A LA DRA. LUCILA CALIFANO.</t>
        </is>
      </c>
      <c r="G130" t="inlineStr">
        <is>
          <t xml:space="preserve"> 11 14/05/2026 -</t>
        </is>
      </c>
      <c r="J130" t="inlineStr">
        <is>
          <t xml:space="preserve"> 24/04/2026 -</t>
        </is>
      </c>
      <c r="L130" t="inlineStr">
        <is>
          <t xml:space="preserve"> 12/08/2026 -</t>
        </is>
      </c>
      <c r="M130" t="inlineStr">
        <is>
          <t xml:space="preserve"> 24/04/2026 -</t>
        </is>
      </c>
      <c r="N130" t="n">
        <v>71</v>
      </c>
      <c r="O130" t="inlineStr">
        <is>
          <t>DE ACUERDOS</t>
        </is>
      </c>
      <c r="P130" t="inlineStr">
        <is>
          <t>24/04/2026</t>
        </is>
      </c>
      <c r="Q130" t="inlineStr">
        <is>
          <t>12/08/2026</t>
        </is>
      </c>
      <c r="R130">
        <f>HYPERLINK("https://www.senado.gob.ar/parlamentario/parlamentaria/ordenDelDiaResultadoLink/2026/281"," 281 2026 AP -")</f>
        <v/>
      </c>
      <c r="S130" t="inlineStr">
        <is>
          <t xml:space="preserve">AP  27/08/2026            </t>
        </is>
      </c>
      <c r="T130" t="inlineStr">
        <is>
          <t xml:space="preserve"> - </t>
        </is>
      </c>
    </row>
    <row r="131">
      <c r="A131" t="inlineStr">
        <is>
          <t>PE</t>
        </is>
      </c>
      <c r="B131">
        <f>HYPERLINK("https://www.senado.gob.ar/parlamentario/comisiones/verExp/111.26/PE/AC","111")</f>
        <v/>
      </c>
      <c r="C131">
        <f>HYPERLINK("https://www.senado.gob.ar/parlamentario/comisiones/verExp/111.26/PE/AC","2026")</f>
        <v/>
      </c>
      <c r="D131" t="inlineStr">
        <is>
          <t>AC</t>
        </is>
      </c>
      <c r="E131" t="inlineStr">
        <is>
          <t>MENSAJE N° 119/26 QUE SOLICITA ACUERDO PARA DESIGNAR DEFENSOR PUBLICO OFICIAL ANTE LOS TRIBUNALES ORALES EN LO PENAL ECONOMICO DE LA CAPITAL FEDERAL, DEFENSORIA N° 2, AL DR. HERNAN ENRIQUE FIGUEROA.</t>
        </is>
      </c>
      <c r="G131" t="inlineStr">
        <is>
          <t xml:space="preserve"> 11 14/05/2026 -</t>
        </is>
      </c>
      <c r="J131" t="inlineStr">
        <is>
          <t xml:space="preserve"> 24/04/2026 -</t>
        </is>
      </c>
      <c r="L131" t="inlineStr">
        <is>
          <t xml:space="preserve"> 12/08/2026 -</t>
        </is>
      </c>
      <c r="M131" t="inlineStr">
        <is>
          <t xml:space="preserve"> 24/04/2026 -</t>
        </is>
      </c>
      <c r="N131" t="n">
        <v>71</v>
      </c>
      <c r="O131" t="inlineStr">
        <is>
          <t>DE ACUERDOS</t>
        </is>
      </c>
      <c r="P131" t="inlineStr">
        <is>
          <t>24/04/2026</t>
        </is>
      </c>
      <c r="Q131" t="inlineStr">
        <is>
          <t>12/08/2026</t>
        </is>
      </c>
      <c r="R131">
        <f>HYPERLINK("https://www.senado.gob.ar/parlamentario/parlamentaria/ordenDelDiaResultadoLink/2026/280"," 280 2026 AP -")</f>
        <v/>
      </c>
      <c r="S131" t="inlineStr">
        <is>
          <t xml:space="preserve">AP  27/08/2026            </t>
        </is>
      </c>
      <c r="T131" t="inlineStr">
        <is>
          <t xml:space="preserve"> - </t>
        </is>
      </c>
    </row>
    <row r="132">
      <c r="A132" t="inlineStr">
        <is>
          <t>PE</t>
        </is>
      </c>
      <c r="B132">
        <f>HYPERLINK("https://www.senado.gob.ar/parlamentario/comisiones/verExp/110.26/PE/AC","110")</f>
        <v/>
      </c>
      <c r="C132">
        <f>HYPERLINK("https://www.senado.gob.ar/parlamentario/comisiones/verExp/110.26/PE/AC","2026")</f>
        <v/>
      </c>
      <c r="D132" t="inlineStr">
        <is>
          <t>AC</t>
        </is>
      </c>
      <c r="E132" t="inlineStr">
        <is>
          <t>MENSAJE N° 118/26 QUE SOLICITA ACUERDO PARA DESIGNAR DEFENSOR PUBLICO OFICIAL ADJUNTO ANTE LOS TRIBUNALES ORALES EN LO CRIMINAL Y CORRECCIONAL DE LA CAPITAL FEDERAL, DEFENSORIA N° 11, AL DR. GERMAN LUIS ARTOLA.</t>
        </is>
      </c>
      <c r="G132" t="inlineStr">
        <is>
          <t xml:space="preserve"> 11 14/05/2026 -</t>
        </is>
      </c>
      <c r="J132" t="inlineStr">
        <is>
          <t xml:space="preserve"> 24/04/2026 -</t>
        </is>
      </c>
      <c r="L132" t="inlineStr">
        <is>
          <t xml:space="preserve"> 19/08/2026 -</t>
        </is>
      </c>
      <c r="M132" t="inlineStr">
        <is>
          <t xml:space="preserve"> 24/04/2026 -</t>
        </is>
      </c>
      <c r="N132" t="n">
        <v>71</v>
      </c>
      <c r="O132" t="inlineStr">
        <is>
          <t>DE ACUERDOS</t>
        </is>
      </c>
      <c r="P132" t="inlineStr">
        <is>
          <t>24/04/2026</t>
        </is>
      </c>
      <c r="Q132" t="inlineStr">
        <is>
          <t>19/08/2026</t>
        </is>
      </c>
      <c r="R132">
        <f>HYPERLINK("https://www.senado.gob.ar/parlamentario/parlamentaria/ordenDelDiaResultadoLink/2026/307"," 307 2026 AP -")</f>
        <v/>
      </c>
      <c r="S132" t="inlineStr">
        <is>
          <t xml:space="preserve">AP  27/08/2026            </t>
        </is>
      </c>
      <c r="T132" t="inlineStr">
        <is>
          <t xml:space="preserve"> - </t>
        </is>
      </c>
    </row>
    <row r="133">
      <c r="A133" t="inlineStr">
        <is>
          <t>PE</t>
        </is>
      </c>
      <c r="B133">
        <f>HYPERLINK("https://www.senado.gob.ar/parlamentario/comisiones/verExp/109.26/PE/AC","109")</f>
        <v/>
      </c>
      <c r="C133">
        <f>HYPERLINK("https://www.senado.gob.ar/parlamentario/comisiones/verExp/109.26/PE/AC","2026")</f>
        <v/>
      </c>
      <c r="D133" t="inlineStr">
        <is>
          <t>AC</t>
        </is>
      </c>
      <c r="E133" t="inlineStr">
        <is>
          <t>MENSAJE N° 117/26 QUE SOLICITA ACUERDO PARA DESIGNAR DEFENSORA PUBLICA OFICIAL ADJUNTA ANTE LOS TRIBUNALES ORALES EN LO CRIMINAL Y CORRECCIONAL DE LA CAPITAL FEDERAL, DEFENSORIA N° 15, A LA DRA. NURIA SABA SARDAÑONS.</t>
        </is>
      </c>
      <c r="G133" t="inlineStr">
        <is>
          <t xml:space="preserve"> 11 14/05/2026 -</t>
        </is>
      </c>
      <c r="J133" t="inlineStr">
        <is>
          <t xml:space="preserve"> 24/04/2026 -</t>
        </is>
      </c>
      <c r="L133" t="inlineStr">
        <is>
          <t xml:space="preserve"> 12/08/2026 -</t>
        </is>
      </c>
      <c r="M133" t="inlineStr">
        <is>
          <t xml:space="preserve"> 24/04/2026 -</t>
        </is>
      </c>
      <c r="N133" t="n">
        <v>71</v>
      </c>
      <c r="O133" t="inlineStr">
        <is>
          <t>DE ACUERDOS</t>
        </is>
      </c>
      <c r="P133" t="inlineStr">
        <is>
          <t>24/04/2026</t>
        </is>
      </c>
      <c r="Q133" t="inlineStr">
        <is>
          <t>12/08/2026</t>
        </is>
      </c>
      <c r="R133">
        <f>HYPERLINK("https://www.senado.gob.ar/parlamentario/parlamentaria/ordenDelDiaResultadoLink/2026/279"," 279 2026 AP -")</f>
        <v/>
      </c>
      <c r="S133" t="inlineStr">
        <is>
          <t xml:space="preserve">AP  27/08/2026            </t>
        </is>
      </c>
      <c r="T133" t="inlineStr">
        <is>
          <t xml:space="preserve"> - </t>
        </is>
      </c>
    </row>
    <row r="134">
      <c r="A134" t="inlineStr">
        <is>
          <t>PE</t>
        </is>
      </c>
      <c r="B134">
        <f>HYPERLINK("https://www.senado.gob.ar/parlamentario/comisiones/verExp/108.26/PE/AC","108")</f>
        <v/>
      </c>
      <c r="C134">
        <f>HYPERLINK("https://www.senado.gob.ar/parlamentario/comisiones/verExp/108.26/PE/AC","2026")</f>
        <v/>
      </c>
      <c r="D134" t="inlineStr">
        <is>
          <t>AC</t>
        </is>
      </c>
      <c r="E134" t="inlineStr">
        <is>
          <t>MENSAJE N° 116/26 QUE SOLICITA ACUERDO PARA DESIGNAR DEFENSOR PUBLICO OFICIAL ANTE EL TRIBUNAL ORAL EN LO CRIMINAL FEDERAL DE LA RIOJA, PROV. DE LA RIOJA, AL DR. JOSE NICOLAS CELESTINO CHUMBITA.</t>
        </is>
      </c>
      <c r="G134" t="inlineStr">
        <is>
          <t xml:space="preserve"> 11 14/05/2026 -</t>
        </is>
      </c>
      <c r="J134" t="inlineStr">
        <is>
          <t xml:space="preserve"> 24/04/2026 -</t>
        </is>
      </c>
      <c r="L134" t="inlineStr">
        <is>
          <t xml:space="preserve"> 05/08/2026 -</t>
        </is>
      </c>
      <c r="M134" t="inlineStr">
        <is>
          <t xml:space="preserve"> 24/04/2026 -</t>
        </is>
      </c>
      <c r="N134" t="n">
        <v>71</v>
      </c>
      <c r="O134" t="inlineStr">
        <is>
          <t>DE ACUERDOS</t>
        </is>
      </c>
      <c r="P134" t="inlineStr">
        <is>
          <t>24/04/2026</t>
        </is>
      </c>
      <c r="Q134" t="inlineStr">
        <is>
          <t>05/08/2026</t>
        </is>
      </c>
      <c r="R134">
        <f>HYPERLINK("https://www.senado.gob.ar/parlamentario/parlamentaria/ordenDelDiaResultadoLink/2026/245"," 245 2026 AP -")</f>
        <v/>
      </c>
      <c r="S134" t="inlineStr">
        <is>
          <t xml:space="preserve">AP  27/08/2026            </t>
        </is>
      </c>
      <c r="T134" t="inlineStr">
        <is>
          <t xml:space="preserve"> - </t>
        </is>
      </c>
    </row>
    <row r="135">
      <c r="A135" t="inlineStr">
        <is>
          <t>PE</t>
        </is>
      </c>
      <c r="B135">
        <f>HYPERLINK("https://www.senado.gob.ar/parlamentario/comisiones/verExp/107.26/PE/AC","107")</f>
        <v/>
      </c>
      <c r="C135">
        <f>HYPERLINK("https://www.senado.gob.ar/parlamentario/comisiones/verExp/107.26/PE/AC","2026")</f>
        <v/>
      </c>
      <c r="D135" t="inlineStr">
        <is>
          <t>AC</t>
        </is>
      </c>
      <c r="E135" t="inlineStr">
        <is>
          <t>MENSAJE N° 115/26 QUE SOLICITA ACUERDO PARA DESIGNAR DEFENSORA PUBLICA DE VICTIMA CON ASIENTO EN LA PROV. DE SANTIAGO DEL ESTERO, A LA DRA. SOFIA BEATRIZ DEL MILAGRO MARTIN.</t>
        </is>
      </c>
      <c r="G135" t="inlineStr">
        <is>
          <t xml:space="preserve"> 11 14/05/2026 -</t>
        </is>
      </c>
      <c r="J135" t="inlineStr">
        <is>
          <t xml:space="preserve"> 24/04/2026 -</t>
        </is>
      </c>
      <c r="L135" t="inlineStr">
        <is>
          <t xml:space="preserve"> 05/08/2026 -</t>
        </is>
      </c>
      <c r="M135" t="inlineStr">
        <is>
          <t xml:space="preserve"> 24/04/2026 -</t>
        </is>
      </c>
      <c r="N135" t="n">
        <v>71</v>
      </c>
      <c r="O135" t="inlineStr">
        <is>
          <t>DE ACUERDOS</t>
        </is>
      </c>
      <c r="P135" t="inlineStr">
        <is>
          <t>24/04/2026</t>
        </is>
      </c>
      <c r="Q135" t="inlineStr">
        <is>
          <t>05/08/2026</t>
        </is>
      </c>
      <c r="R135">
        <f>HYPERLINK("https://www.senado.gob.ar/parlamentario/parlamentaria/ordenDelDiaResultadoLink/2026/244"," 244 2026 AP -")</f>
        <v/>
      </c>
      <c r="S135" t="inlineStr">
        <is>
          <t xml:space="preserve">AP  27/08/2026            </t>
        </is>
      </c>
      <c r="T135" t="inlineStr">
        <is>
          <t xml:space="preserve"> - </t>
        </is>
      </c>
    </row>
    <row r="136">
      <c r="A136" t="inlineStr">
        <is>
          <t>PE</t>
        </is>
      </c>
      <c r="B136">
        <f>HYPERLINK("https://www.senado.gob.ar/parlamentario/comisiones/verExp/106.26/PE/AC","106")</f>
        <v/>
      </c>
      <c r="C136">
        <f>HYPERLINK("https://www.senado.gob.ar/parlamentario/comisiones/verExp/106.26/PE/AC","2026")</f>
        <v/>
      </c>
      <c r="D136" t="inlineStr">
        <is>
          <t>AC</t>
        </is>
      </c>
      <c r="E136" t="inlineStr">
        <is>
          <t>MENSAJE N° 114/26 QUE SOLICITA ACUERDO PARA DESIGNAR DEFENSOR PUBLICO DE MENORES E INCAPACES ANTE LOS TRIBUNALES ORALES EN LO CRIMINAL Y CORRECCIONAL DE LA CAPITAL FEDERAL, DEFENSORIA N° 4, AL DR. MAXIMILIANO EDUARDO NICOLAS.</t>
        </is>
      </c>
      <c r="G136" t="inlineStr">
        <is>
          <t xml:space="preserve"> 11 14/05/2026 -</t>
        </is>
      </c>
      <c r="J136" t="inlineStr">
        <is>
          <t xml:space="preserve"> 24/04/2026 -</t>
        </is>
      </c>
      <c r="L136" t="inlineStr">
        <is>
          <t xml:space="preserve"> 06/08/2026 -</t>
        </is>
      </c>
      <c r="M136" t="inlineStr">
        <is>
          <t xml:space="preserve"> 24/04/2026 -</t>
        </is>
      </c>
      <c r="N136" t="n">
        <v>71</v>
      </c>
      <c r="O136" t="inlineStr">
        <is>
          <t>DE ACUERDOS</t>
        </is>
      </c>
      <c r="P136" t="inlineStr">
        <is>
          <t>24/04/2026</t>
        </is>
      </c>
      <c r="Q136" t="inlineStr">
        <is>
          <t>06/08/2026</t>
        </is>
      </c>
      <c r="R136">
        <f>HYPERLINK("https://www.senado.gob.ar/parlamentario/parlamentaria/ordenDelDiaResultadoLink/2026/259"," 259 2026 AP -")</f>
        <v/>
      </c>
      <c r="S136" t="inlineStr">
        <is>
          <t xml:space="preserve">AP  27/08/2026            </t>
        </is>
      </c>
      <c r="T136" t="inlineStr">
        <is>
          <t xml:space="preserve"> - </t>
        </is>
      </c>
    </row>
    <row r="137">
      <c r="A137" t="inlineStr">
        <is>
          <t>PE</t>
        </is>
      </c>
      <c r="B137">
        <f>HYPERLINK("https://www.senado.gob.ar/parlamentario/comisiones/verExp/105.26/PE/AC","105")</f>
        <v/>
      </c>
      <c r="C137">
        <f>HYPERLINK("https://www.senado.gob.ar/parlamentario/comisiones/verExp/105.26/PE/AC","2026")</f>
        <v/>
      </c>
      <c r="D137" t="inlineStr">
        <is>
          <t>AC</t>
        </is>
      </c>
      <c r="E137" t="inlineStr">
        <is>
          <t>MENSAJE N° 113/26 QUE SOLICITA ACUERDO PARA DESIGNAR DEFENSORA PUBLICA DE VICTIMA CON ASIENTO EN LA PROV. DE RIO NEGRO, A LA DRA. MARIA LAURA IRASTORZA.</t>
        </is>
      </c>
      <c r="G137" t="inlineStr">
        <is>
          <t xml:space="preserve"> 11 14/05/2026 -</t>
        </is>
      </c>
      <c r="I137" t="inlineStr">
        <is>
          <t>04/08/2026</t>
        </is>
      </c>
      <c r="J137" t="inlineStr">
        <is>
          <t xml:space="preserve"> 24/04/2026 -</t>
        </is>
      </c>
      <c r="L137" t="inlineStr">
        <is>
          <t xml:space="preserve"> 01/07/2026 -</t>
        </is>
      </c>
      <c r="M137" t="inlineStr">
        <is>
          <t xml:space="preserve"> 24/04/2026 -</t>
        </is>
      </c>
      <c r="N137" t="n">
        <v>71</v>
      </c>
      <c r="O137" t="inlineStr">
        <is>
          <t>DE ACUERDOS</t>
        </is>
      </c>
      <c r="P137" t="inlineStr">
        <is>
          <t>24/04/2026</t>
        </is>
      </c>
      <c r="Q137" t="inlineStr">
        <is>
          <t>01/07/2026</t>
        </is>
      </c>
      <c r="R137">
        <f>HYPERLINK("https://www.senado.gob.ar/parlamentario/parlamentaria/ordenDelDiaResultadoLink/2026/209"," 209 2026 AP -")</f>
        <v/>
      </c>
      <c r="S137" t="inlineStr">
        <is>
          <t xml:space="preserve">AP  16/07/2026            </t>
        </is>
      </c>
      <c r="T137" t="inlineStr">
        <is>
          <t xml:space="preserve"> - </t>
        </is>
      </c>
      <c r="V137" t="inlineStr">
        <is>
          <t>04/08/2026</t>
        </is>
      </c>
    </row>
    <row r="138">
      <c r="A138" t="inlineStr">
        <is>
          <t>PE</t>
        </is>
      </c>
      <c r="B138">
        <f>HYPERLINK("https://www.senado.gob.ar/parlamentario/comisiones/verExp/104.26/PE/AC","104")</f>
        <v/>
      </c>
      <c r="C138">
        <f>HYPERLINK("https://www.senado.gob.ar/parlamentario/comisiones/verExp/104.26/PE/AC","2026")</f>
        <v/>
      </c>
      <c r="D138" t="inlineStr">
        <is>
          <t>AC</t>
        </is>
      </c>
      <c r="E138" t="inlineStr">
        <is>
          <t xml:space="preserve">MENSAJE N° 112/26 QUE SOLICITA ACUERDO PARA DESIGNAR DEFENSORA PUBLICA OFICIAL FEDERAL DEL INTERIOR DEL PAIS CON ASIENTO EN LA CIUDAD DE FORMOSA, PROV. DE FORMOSA, A LA DRA. MARIA ESTHER PINOS.
</t>
        </is>
      </c>
      <c r="G138" t="inlineStr">
        <is>
          <t xml:space="preserve"> 11 14/05/2026 -</t>
        </is>
      </c>
      <c r="J138" t="inlineStr">
        <is>
          <t xml:space="preserve"> 24/04/2026 -</t>
        </is>
      </c>
      <c r="L138" t="inlineStr">
        <is>
          <t xml:space="preserve"> 05/08/2026 -</t>
        </is>
      </c>
      <c r="M138" t="inlineStr">
        <is>
          <t xml:space="preserve"> 24/04/2026 -</t>
        </is>
      </c>
      <c r="N138" t="n">
        <v>71</v>
      </c>
      <c r="O138" t="inlineStr">
        <is>
          <t>DE ACUERDOS</t>
        </is>
      </c>
      <c r="P138" t="inlineStr">
        <is>
          <t>24/04/2026</t>
        </is>
      </c>
      <c r="Q138" t="inlineStr">
        <is>
          <t>05/08/2026</t>
        </is>
      </c>
      <c r="R138">
        <f>HYPERLINK("https://www.senado.gob.ar/parlamentario/parlamentaria/ordenDelDiaResultadoLink/2026/243"," 243 2026 AP -")</f>
        <v/>
      </c>
      <c r="S138" t="inlineStr">
        <is>
          <t xml:space="preserve">AP  27/08/2026            </t>
        </is>
      </c>
      <c r="T138" t="inlineStr">
        <is>
          <t xml:space="preserve"> - </t>
        </is>
      </c>
    </row>
    <row r="139">
      <c r="A139" t="inlineStr">
        <is>
          <t>PE</t>
        </is>
      </c>
      <c r="B139">
        <f>HYPERLINK("https://www.senado.gob.ar/parlamentario/comisiones/verExp/103.26/PE/AC","103")</f>
        <v/>
      </c>
      <c r="C139">
        <f>HYPERLINK("https://www.senado.gob.ar/parlamentario/comisiones/verExp/103.26/PE/AC","2026")</f>
        <v/>
      </c>
      <c r="D139" t="inlineStr">
        <is>
          <t>AC</t>
        </is>
      </c>
      <c r="E139" t="inlineStr">
        <is>
          <t>MENSAJE N° 111/26 QUE SOLICITA ACUERDO PARA DESIGNAR DEFENSORA PUBLICA OFICIAL ANTE LA CAMARA FEDERAL DE CASACION PENAL, DEFENSORIA N° 3, A LA DRA. ANA CLARISA GALAN MUÑOZ.</t>
        </is>
      </c>
      <c r="G139" t="inlineStr">
        <is>
          <t xml:space="preserve"> 11 14/05/2026 -</t>
        </is>
      </c>
      <c r="J139" t="inlineStr">
        <is>
          <t xml:space="preserve"> 24/04/2026 -</t>
        </is>
      </c>
      <c r="L139" t="inlineStr">
        <is>
          <t xml:space="preserve"> 06/08/2026 -</t>
        </is>
      </c>
      <c r="M139" t="inlineStr">
        <is>
          <t xml:space="preserve"> 24/04/2026 -</t>
        </is>
      </c>
      <c r="N139" t="n">
        <v>71</v>
      </c>
      <c r="O139" t="inlineStr">
        <is>
          <t>DE ACUERDOS</t>
        </is>
      </c>
      <c r="P139" t="inlineStr">
        <is>
          <t>24/04/2026</t>
        </is>
      </c>
      <c r="Q139" t="inlineStr">
        <is>
          <t>06/08/2026</t>
        </is>
      </c>
      <c r="R139">
        <f>HYPERLINK("https://www.senado.gob.ar/parlamentario/parlamentaria/ordenDelDiaResultadoLink/2026/258"," 258 2026 AP -")</f>
        <v/>
      </c>
      <c r="S139" t="inlineStr">
        <is>
          <t xml:space="preserve">AP  27/08/2026            </t>
        </is>
      </c>
      <c r="T139" t="inlineStr">
        <is>
          <t xml:space="preserve"> - </t>
        </is>
      </c>
    </row>
    <row r="140">
      <c r="A140" t="inlineStr">
        <is>
          <t>PE</t>
        </is>
      </c>
      <c r="B140">
        <f>HYPERLINK("https://www.senado.gob.ar/parlamentario/comisiones/verExp/93.26/PE/AC","93")</f>
        <v/>
      </c>
      <c r="C140">
        <f>HYPERLINK("https://www.senado.gob.ar/parlamentario/comisiones/verExp/93.26/PE/AC","2026")</f>
        <v/>
      </c>
      <c r="D140" t="inlineStr">
        <is>
          <t>AC</t>
        </is>
      </c>
      <c r="E140" t="inlineStr">
        <is>
          <t xml:space="preserve">MENSAJE N° 103/26 QUE SOLICITA ACUERDO PARA DESIGNAR DEFENSOR PUBLICO DE VICTIMA CON ASIENTO EN LA PROVINCIA DE ENTRE RIOS, AL DR. JUAN IGNACIO LAZZANEO.
</t>
        </is>
      </c>
      <c r="G140" t="inlineStr">
        <is>
          <t xml:space="preserve"> 10 09/04/2026 -</t>
        </is>
      </c>
      <c r="I140" t="inlineStr">
        <is>
          <t>16/06/2026</t>
        </is>
      </c>
      <c r="J140" t="inlineStr">
        <is>
          <t xml:space="preserve"> 09/04/2026 -</t>
        </is>
      </c>
      <c r="L140" t="inlineStr">
        <is>
          <t xml:space="preserve"> 15/05/2026 -</t>
        </is>
      </c>
      <c r="M140" t="inlineStr">
        <is>
          <t xml:space="preserve"> 09/04/2026 -</t>
        </is>
      </c>
      <c r="N140" t="n">
        <v>71</v>
      </c>
      <c r="O140" t="inlineStr">
        <is>
          <t>DE ACUERDOS</t>
        </is>
      </c>
      <c r="P140" t="inlineStr">
        <is>
          <t>09/04/2026</t>
        </is>
      </c>
      <c r="Q140" t="inlineStr">
        <is>
          <t>15/05/2026</t>
        </is>
      </c>
      <c r="R140">
        <f>HYPERLINK("https://www.senado.gob.ar/parlamentario/parlamentaria/ordenDelDiaResultadoLink/2026/101"," 101 2026 AP -")</f>
        <v/>
      </c>
      <c r="S140" t="inlineStr">
        <is>
          <t xml:space="preserve">AP  04/06/2026            </t>
        </is>
      </c>
      <c r="T140" t="inlineStr">
        <is>
          <t xml:space="preserve"> - </t>
        </is>
      </c>
      <c r="V140" t="inlineStr">
        <is>
          <t>16/06/2026</t>
        </is>
      </c>
    </row>
    <row r="141">
      <c r="A141" t="inlineStr">
        <is>
          <t>PE</t>
        </is>
      </c>
      <c r="B141">
        <f>HYPERLINK("https://www.senado.gob.ar/parlamentario/comisiones/verExp/92.26/PE/AC","92")</f>
        <v/>
      </c>
      <c r="C141">
        <f>HYPERLINK("https://www.senado.gob.ar/parlamentario/comisiones/verExp/92.26/PE/AC","2026")</f>
        <v/>
      </c>
      <c r="D141" t="inlineStr">
        <is>
          <t>AC</t>
        </is>
      </c>
      <c r="E141" t="inlineStr">
        <is>
          <t xml:space="preserve">MENSAJE N° 102/26 QUE SOLICITA ACUERDO PARA DESIGNAR VOCAL DE LA CAMARA FEDERAL DE APELACIONES DE MENDOZA, PROVINCIA DE MENDOZA, SALA A, AL DR. SEBASTIAN GUILLERMO SONEIRA.
</t>
        </is>
      </c>
      <c r="G141" t="inlineStr">
        <is>
          <t xml:space="preserve"> 10 09/04/2026 -</t>
        </is>
      </c>
      <c r="I141" t="inlineStr">
        <is>
          <t>16/06/2026</t>
        </is>
      </c>
      <c r="J141" t="inlineStr">
        <is>
          <t xml:space="preserve"> 09/04/2026 -</t>
        </is>
      </c>
      <c r="L141" t="inlineStr">
        <is>
          <t xml:space="preserve"> 15/05/2026 -</t>
        </is>
      </c>
      <c r="M141" t="inlineStr">
        <is>
          <t xml:space="preserve"> 09/04/2026 -</t>
        </is>
      </c>
      <c r="N141" t="n">
        <v>71</v>
      </c>
      <c r="O141" t="inlineStr">
        <is>
          <t>DE ACUERDOS</t>
        </is>
      </c>
      <c r="P141" t="inlineStr">
        <is>
          <t>09/04/2026</t>
        </is>
      </c>
      <c r="Q141" t="inlineStr">
        <is>
          <t>15/05/2026</t>
        </is>
      </c>
      <c r="R141">
        <f>HYPERLINK("https://www.senado.gob.ar/parlamentario/parlamentaria/ordenDelDiaResultadoLink/2026/100"," 100 2026 AP -")</f>
        <v/>
      </c>
      <c r="S141" t="inlineStr">
        <is>
          <t xml:space="preserve">AP  04/06/2026            </t>
        </is>
      </c>
      <c r="T141" t="inlineStr">
        <is>
          <t xml:space="preserve"> - </t>
        </is>
      </c>
      <c r="V141" t="inlineStr">
        <is>
          <t>16/06/2026</t>
        </is>
      </c>
    </row>
    <row r="142">
      <c r="A142" t="inlineStr">
        <is>
          <t>PE</t>
        </is>
      </c>
      <c r="B142">
        <f>HYPERLINK("https://www.senado.gob.ar/parlamentario/comisiones/verExp/91.26/PE/AC","91")</f>
        <v/>
      </c>
      <c r="C142">
        <f>HYPERLINK("https://www.senado.gob.ar/parlamentario/comisiones/verExp/91.26/PE/AC","2026")</f>
        <v/>
      </c>
      <c r="D142" t="inlineStr">
        <is>
          <t>AC</t>
        </is>
      </c>
      <c r="E142" t="inlineStr">
        <is>
          <t xml:space="preserve">MENSAJE N° 101/26 QUE SOLICITA ACUERDO PARA DESIGNAR JUEZ DE CAMARA DEL TRIBUNAL ORAL EN LO CRIMINAL Y CORRECCIONAL N°8 DE LA CAPITAL FEDERAL, AL DR. JUAN MANUEL MEJUTO.
</t>
        </is>
      </c>
      <c r="G142" t="inlineStr">
        <is>
          <t xml:space="preserve"> 10 09/04/2026 -</t>
        </is>
      </c>
      <c r="J142" t="inlineStr">
        <is>
          <t xml:space="preserve"> 09/04/2026 -</t>
        </is>
      </c>
      <c r="L142" t="inlineStr">
        <is>
          <t xml:space="preserve"> 26/08/2026 -</t>
        </is>
      </c>
      <c r="M142" t="inlineStr">
        <is>
          <t xml:space="preserve"> 09/04/2026 -</t>
        </is>
      </c>
      <c r="N142" t="n">
        <v>71</v>
      </c>
      <c r="O142" t="inlineStr">
        <is>
          <t>DE ACUERDOS</t>
        </is>
      </c>
      <c r="P142" t="inlineStr">
        <is>
          <t>09/04/2026</t>
        </is>
      </c>
      <c r="Q142" t="inlineStr">
        <is>
          <t>26/08/2026</t>
        </is>
      </c>
      <c r="R142">
        <f>HYPERLINK("https://www.senado.gob.ar/parlamentario/parlamentaria/ordenDelDiaResultadoLink/2026/338"," 338 2026 PE -")</f>
        <v/>
      </c>
      <c r="S142" t="inlineStr">
        <is>
          <t xml:space="preserve">              </t>
        </is>
      </c>
      <c r="T142" t="inlineStr">
        <is>
          <t xml:space="preserve"> - </t>
        </is>
      </c>
    </row>
    <row r="143">
      <c r="A143" t="inlineStr">
        <is>
          <t>PE</t>
        </is>
      </c>
      <c r="B143">
        <f>HYPERLINK("https://www.senado.gob.ar/parlamentario/comisiones/verExp/90.26/PE/AC","90")</f>
        <v/>
      </c>
      <c r="C143">
        <f>HYPERLINK("https://www.senado.gob.ar/parlamentario/comisiones/verExp/90.26/PE/AC","2026")</f>
        <v/>
      </c>
      <c r="D143" t="inlineStr">
        <is>
          <t>AC</t>
        </is>
      </c>
      <c r="E143" t="inlineStr">
        <is>
          <t xml:space="preserve">MENSAJE N° 100/26 QUE SOLICITA ACUERDO PARA DESIGNAR JUEZ DE CAMARA DEL TRIBUNAL ORAL EN LO CRIMINAL Y CORRECCIONAL N°2 DE LA CAPITAL FEDERAL, AL DR. MARCELO ALEJANDRO PELUZZI.
</t>
        </is>
      </c>
      <c r="G143" t="inlineStr">
        <is>
          <t xml:space="preserve"> 10 09/04/2026 -</t>
        </is>
      </c>
      <c r="I143" t="inlineStr">
        <is>
          <t>16/06/2026</t>
        </is>
      </c>
      <c r="J143" t="inlineStr">
        <is>
          <t xml:space="preserve"> 09/04/2026 -</t>
        </is>
      </c>
      <c r="L143" t="inlineStr">
        <is>
          <t xml:space="preserve"> 15/05/2026 -</t>
        </is>
      </c>
      <c r="M143" t="inlineStr">
        <is>
          <t xml:space="preserve"> 09/04/2026 -</t>
        </is>
      </c>
      <c r="N143" t="n">
        <v>71</v>
      </c>
      <c r="O143" t="inlineStr">
        <is>
          <t>DE ACUERDOS</t>
        </is>
      </c>
      <c r="P143" t="inlineStr">
        <is>
          <t>09/04/2026</t>
        </is>
      </c>
      <c r="Q143" t="inlineStr">
        <is>
          <t>15/05/2026</t>
        </is>
      </c>
      <c r="R143">
        <f>HYPERLINK("https://www.senado.gob.ar/parlamentario/parlamentaria/ordenDelDiaResultadoLink/2026/99"," 99 2026 AP -")</f>
        <v/>
      </c>
      <c r="S143" t="inlineStr">
        <is>
          <t xml:space="preserve">AP  04/06/2026            </t>
        </is>
      </c>
      <c r="T143" t="inlineStr">
        <is>
          <t xml:space="preserve"> - </t>
        </is>
      </c>
      <c r="V143" t="inlineStr">
        <is>
          <t>16/06/2026</t>
        </is>
      </c>
    </row>
    <row r="144">
      <c r="A144" t="inlineStr">
        <is>
          <t>PE</t>
        </is>
      </c>
      <c r="B144">
        <f>HYPERLINK("https://www.senado.gob.ar/parlamentario/comisiones/verExp/89.26/PE/AC","89")</f>
        <v/>
      </c>
      <c r="C144">
        <f>HYPERLINK("https://www.senado.gob.ar/parlamentario/comisiones/verExp/89.26/PE/AC","2026")</f>
        <v/>
      </c>
      <c r="D144" t="inlineStr">
        <is>
          <t>AC</t>
        </is>
      </c>
      <c r="E144" t="inlineStr">
        <is>
          <t xml:space="preserve">MENSAJE N° 99/26 QUE ASIGNA SALAS Y VOCALIAS A MENSAJES REMITIDOS SOLICITANDO ACUERDO PARA DESIGNAR A MAGISTRADOS JUDICIALES.
</t>
        </is>
      </c>
      <c r="G144" t="inlineStr">
        <is>
          <t xml:space="preserve"> 10 09/04/2026 -</t>
        </is>
      </c>
      <c r="J144" t="inlineStr">
        <is>
          <t xml:space="preserve"> 09/04/2026 -</t>
        </is>
      </c>
      <c r="L144" t="inlineStr">
        <is>
          <t xml:space="preserve">  -</t>
        </is>
      </c>
      <c r="M144" t="inlineStr">
        <is>
          <t xml:space="preserve"> 09/04/2026 -</t>
        </is>
      </c>
      <c r="N144" t="n">
        <v>71</v>
      </c>
      <c r="O144" t="inlineStr">
        <is>
          <t>DE ACUERDOS</t>
        </is>
      </c>
      <c r="P144" t="inlineStr">
        <is>
          <t>09/04/2026</t>
        </is>
      </c>
      <c r="R144">
        <f>HYPERLINK("","")</f>
        <v/>
      </c>
      <c r="S144" t="inlineStr">
        <is>
          <t xml:space="preserve">              </t>
        </is>
      </c>
      <c r="T144" t="inlineStr">
        <is>
          <t xml:space="preserve"> - </t>
        </is>
      </c>
    </row>
    <row r="145">
      <c r="A145" t="inlineStr">
        <is>
          <t>PE</t>
        </is>
      </c>
      <c r="B145">
        <f>HYPERLINK("https://www.senado.gob.ar/parlamentario/comisiones/verExp/88.26/PE/AC","88")</f>
        <v/>
      </c>
      <c r="C145">
        <f>HYPERLINK("https://www.senado.gob.ar/parlamentario/comisiones/verExp/88.26/PE/AC","2026")</f>
        <v/>
      </c>
      <c r="D145" t="inlineStr">
        <is>
          <t>AC</t>
        </is>
      </c>
      <c r="E145" t="inlineStr">
        <is>
          <t xml:space="preserve">MENSAJE N° 98/26 QUE SOLICITA ACUERDO PARA DESIGNAR JUEZA DEL JUZGADO NACIONAL DE PRIMERA INSTANCIA EN LO CIVIL N° 77 DE LA CAPITAL FEDERAL, A LA DRA. PAULA DIANA MARINKOVIC.
</t>
        </is>
      </c>
      <c r="G145" t="inlineStr">
        <is>
          <t xml:space="preserve"> 9 09/04/2026 -</t>
        </is>
      </c>
      <c r="I145" t="inlineStr">
        <is>
          <t>16/06/2026</t>
        </is>
      </c>
      <c r="J145" t="inlineStr">
        <is>
          <t xml:space="preserve"> 08/04/2026 -</t>
        </is>
      </c>
      <c r="L145" t="inlineStr">
        <is>
          <t xml:space="preserve"> 15/05/2026 -</t>
        </is>
      </c>
      <c r="M145" t="inlineStr">
        <is>
          <t xml:space="preserve"> 08/04/2026 -</t>
        </is>
      </c>
      <c r="N145" t="n">
        <v>71</v>
      </c>
      <c r="O145" t="inlineStr">
        <is>
          <t>DE ACUERDOS</t>
        </is>
      </c>
      <c r="P145" t="inlineStr">
        <is>
          <t>08/04/2026</t>
        </is>
      </c>
      <c r="Q145" t="inlineStr">
        <is>
          <t>15/05/2026</t>
        </is>
      </c>
      <c r="R145">
        <f>HYPERLINK("https://www.senado.gob.ar/parlamentario/parlamentaria/ordenDelDiaResultadoLink/2026/98"," 98 2026 AP -")</f>
        <v/>
      </c>
      <c r="S145" t="inlineStr">
        <is>
          <t xml:space="preserve">AP  04/06/2026            </t>
        </is>
      </c>
      <c r="T145" t="inlineStr">
        <is>
          <t xml:space="preserve"> - </t>
        </is>
      </c>
      <c r="V145" t="inlineStr">
        <is>
          <t>16/06/2026</t>
        </is>
      </c>
    </row>
    <row r="146">
      <c r="A146" t="inlineStr">
        <is>
          <t>PE</t>
        </is>
      </c>
      <c r="B146">
        <f>HYPERLINK("https://www.senado.gob.ar/parlamentario/comisiones/verExp/87.26/PE/AC","87")</f>
        <v/>
      </c>
      <c r="C146">
        <f>HYPERLINK("https://www.senado.gob.ar/parlamentario/comisiones/verExp/87.26/PE/AC","2026")</f>
        <v/>
      </c>
      <c r="D146" t="inlineStr">
        <is>
          <t>AC</t>
        </is>
      </c>
      <c r="E146" t="inlineStr">
        <is>
          <t>MENSAJE N° 97/26 QUE SOLICITA ACUERDO PARA DESIGNAR JUEZ DEL JUZGADO NACIONAL EN LO CRIMINAL Y CORRECCIONAL N° 31 DE LA CAPITAL FEDERAL, AL DR. DIEGO JAVIER SOUTO.</t>
        </is>
      </c>
      <c r="G146" t="inlineStr">
        <is>
          <t xml:space="preserve"> 9 09/04/2026 -</t>
        </is>
      </c>
      <c r="I146" t="inlineStr">
        <is>
          <t>16/06/2026</t>
        </is>
      </c>
      <c r="J146" t="inlineStr">
        <is>
          <t xml:space="preserve"> 08/04/2026 -</t>
        </is>
      </c>
      <c r="L146" t="inlineStr">
        <is>
          <t xml:space="preserve"> 15/05/2026 -</t>
        </is>
      </c>
      <c r="M146" t="inlineStr">
        <is>
          <t xml:space="preserve"> 08/04/2026 -</t>
        </is>
      </c>
      <c r="N146" t="n">
        <v>71</v>
      </c>
      <c r="O146" t="inlineStr">
        <is>
          <t>DE ACUERDOS</t>
        </is>
      </c>
      <c r="P146" t="inlineStr">
        <is>
          <t>08/04/2026</t>
        </is>
      </c>
      <c r="Q146" t="inlineStr">
        <is>
          <t>15/05/2026</t>
        </is>
      </c>
      <c r="R146">
        <f>HYPERLINK("https://www.senado.gob.ar/parlamentario/parlamentaria/ordenDelDiaResultadoLink/2026/97"," 97 2026 AP -")</f>
        <v/>
      </c>
      <c r="S146" t="inlineStr">
        <is>
          <t xml:space="preserve">AP  04/06/2026            </t>
        </is>
      </c>
      <c r="T146" t="inlineStr">
        <is>
          <t xml:space="preserve"> - </t>
        </is>
      </c>
      <c r="V146" t="inlineStr">
        <is>
          <t>16/06/2026</t>
        </is>
      </c>
    </row>
    <row r="147">
      <c r="A147" t="inlineStr">
        <is>
          <t>PE</t>
        </is>
      </c>
      <c r="B147">
        <f>HYPERLINK("https://www.senado.gob.ar/parlamentario/comisiones/verExp/86.26/PE/AC","86")</f>
        <v/>
      </c>
      <c r="C147">
        <f>HYPERLINK("https://www.senado.gob.ar/parlamentario/comisiones/verExp/86.26/PE/AC","2026")</f>
        <v/>
      </c>
      <c r="D147" t="inlineStr">
        <is>
          <t>AC</t>
        </is>
      </c>
      <c r="E147" t="inlineStr">
        <is>
          <t>MENSAJE N° 96/26 QUE SOLICITA ACUERDO PARA DESIGNAR JUEZ DEL JUZGADO FEDERAL DE PRIMERA INSTANCIA DE SAN CARLOS DE BARILOCHE, PROV. DE RIO NEGRO, AL DR. LEANDRO AGUSTIN GOMEZ CONSTENLA.</t>
        </is>
      </c>
      <c r="G147" t="inlineStr">
        <is>
          <t xml:space="preserve"> 9 09/04/2026 -</t>
        </is>
      </c>
      <c r="I147" t="inlineStr">
        <is>
          <t>16/06/2026</t>
        </is>
      </c>
      <c r="J147" t="inlineStr">
        <is>
          <t xml:space="preserve"> 08/04/2026 -</t>
        </is>
      </c>
      <c r="L147" t="inlineStr">
        <is>
          <t xml:space="preserve"> 15/05/2026 -</t>
        </is>
      </c>
      <c r="M147" t="inlineStr">
        <is>
          <t xml:space="preserve"> 08/04/2026 -</t>
        </is>
      </c>
      <c r="N147" t="n">
        <v>71</v>
      </c>
      <c r="O147" t="inlineStr">
        <is>
          <t>DE ACUERDOS</t>
        </is>
      </c>
      <c r="P147" t="inlineStr">
        <is>
          <t>08/04/2026</t>
        </is>
      </c>
      <c r="Q147" t="inlineStr">
        <is>
          <t>15/05/2026</t>
        </is>
      </c>
      <c r="R147">
        <f>HYPERLINK("https://www.senado.gob.ar/parlamentario/parlamentaria/ordenDelDiaResultadoLink/2026/96"," 96 2026 AP -")</f>
        <v/>
      </c>
      <c r="S147" t="inlineStr">
        <is>
          <t xml:space="preserve">AP  04/06/2026            </t>
        </is>
      </c>
      <c r="T147" t="inlineStr">
        <is>
          <t xml:space="preserve"> - </t>
        </is>
      </c>
      <c r="V147" t="inlineStr">
        <is>
          <t>16/06/2026</t>
        </is>
      </c>
    </row>
    <row r="148">
      <c r="A148" t="inlineStr">
        <is>
          <t>PE</t>
        </is>
      </c>
      <c r="B148">
        <f>HYPERLINK("https://www.senado.gob.ar/parlamentario/comisiones/verExp/85.26/PE/AC","85")</f>
        <v/>
      </c>
      <c r="C148">
        <f>HYPERLINK("https://www.senado.gob.ar/parlamentario/comisiones/verExp/85.26/PE/AC","2026")</f>
        <v/>
      </c>
      <c r="D148" t="inlineStr">
        <is>
          <t>AC</t>
        </is>
      </c>
      <c r="E148" t="inlineStr">
        <is>
          <t>MENSAJE N° 95/26 QUE SOLICITA ACUERDO PARA DESIGNAR JUEZ DEL JUZGADO FEDERAL DE PRIMERA INSTANCIA N° 2 DE SALTA, PROV. DE SALTA, AL DR. DIEGO ANZORREGUY.</t>
        </is>
      </c>
      <c r="G148" t="inlineStr">
        <is>
          <t xml:space="preserve"> 8 09/04/2026 -</t>
        </is>
      </c>
      <c r="I148" t="inlineStr">
        <is>
          <t>16/06/2026</t>
        </is>
      </c>
      <c r="J148" t="inlineStr">
        <is>
          <t xml:space="preserve"> 07/04/2026 -</t>
        </is>
      </c>
      <c r="L148" t="inlineStr">
        <is>
          <t xml:space="preserve"> 15/05/2026 -</t>
        </is>
      </c>
      <c r="M148" t="inlineStr">
        <is>
          <t xml:space="preserve"> 07/04/2026 -</t>
        </is>
      </c>
      <c r="N148" t="n">
        <v>71</v>
      </c>
      <c r="O148" t="inlineStr">
        <is>
          <t>DE ACUERDOS</t>
        </is>
      </c>
      <c r="P148" t="inlineStr">
        <is>
          <t>07/04/2026</t>
        </is>
      </c>
      <c r="Q148" t="inlineStr">
        <is>
          <t>15/05/2026</t>
        </is>
      </c>
      <c r="R148">
        <f>HYPERLINK("https://www.senado.gob.ar/parlamentario/parlamentaria/ordenDelDiaResultadoLink/2026/95"," 95 2026 AP -")</f>
        <v/>
      </c>
      <c r="S148" t="inlineStr">
        <is>
          <t xml:space="preserve">AP  04/06/2026            </t>
        </is>
      </c>
      <c r="T148" t="inlineStr">
        <is>
          <t xml:space="preserve"> - </t>
        </is>
      </c>
      <c r="V148" t="inlineStr">
        <is>
          <t>16/06/2026</t>
        </is>
      </c>
    </row>
    <row r="149">
      <c r="A149" t="inlineStr">
        <is>
          <t>PE</t>
        </is>
      </c>
      <c r="B149">
        <f>HYPERLINK("https://www.senado.gob.ar/parlamentario/comisiones/verExp/84.26/PE/AC","84")</f>
        <v/>
      </c>
      <c r="C149">
        <f>HYPERLINK("https://www.senado.gob.ar/parlamentario/comisiones/verExp/84.26/PE/AC","2026")</f>
        <v/>
      </c>
      <c r="D149" t="inlineStr">
        <is>
          <t>AC</t>
        </is>
      </c>
      <c r="E149" t="inlineStr">
        <is>
          <t>MENSAJE N° 94/26 QUE SOLICITA ACUERDO PARA DESIGNAR JUEZ DEL JUZGADO NACIONAL DE PRIMERA INSTANCIA EN LO COMERCIAL N° 4 DE LA CAPITAL FEDERAL, AL DR. JUAN PEDRO GIUDICI.</t>
        </is>
      </c>
      <c r="G149" t="inlineStr">
        <is>
          <t xml:space="preserve"> 8 09/04/2026 -</t>
        </is>
      </c>
      <c r="J149" t="inlineStr">
        <is>
          <t xml:space="preserve"> 07/04/2026 -</t>
        </is>
      </c>
      <c r="L149" t="inlineStr">
        <is>
          <t xml:space="preserve"> 14/05/2026 -</t>
        </is>
      </c>
      <c r="M149" t="inlineStr">
        <is>
          <t xml:space="preserve"> 07/04/2026 -</t>
        </is>
      </c>
      <c r="N149" t="n">
        <v>71</v>
      </c>
      <c r="O149" t="inlineStr">
        <is>
          <t>DE ACUERDOS</t>
        </is>
      </c>
      <c r="P149" t="inlineStr">
        <is>
          <t>07/04/2026</t>
        </is>
      </c>
      <c r="Q149" t="inlineStr">
        <is>
          <t>14/05/2026</t>
        </is>
      </c>
      <c r="R149">
        <f>HYPERLINK("https://www.senado.gob.ar/parlamentario/parlamentaria/ordenDelDiaResultadoLink/2026/87"," 87 2026 AP -")</f>
        <v/>
      </c>
      <c r="S149" t="inlineStr">
        <is>
          <t xml:space="preserve">AP  04/06/2026            </t>
        </is>
      </c>
      <c r="T149" t="inlineStr">
        <is>
          <t xml:space="preserve"> - </t>
        </is>
      </c>
    </row>
    <row r="150">
      <c r="A150" t="inlineStr">
        <is>
          <t>PE</t>
        </is>
      </c>
      <c r="B150">
        <f>HYPERLINK("https://www.senado.gob.ar/parlamentario/comisiones/verExp/83.26/PE/AC","83")</f>
        <v/>
      </c>
      <c r="C150">
        <f>HYPERLINK("https://www.senado.gob.ar/parlamentario/comisiones/verExp/83.26/PE/AC","2026")</f>
        <v/>
      </c>
      <c r="D150" t="inlineStr">
        <is>
          <t>AC</t>
        </is>
      </c>
      <c r="E150" t="inlineStr">
        <is>
          <t>MENSAJE N° 93/26 QUE SOLICITA ACUERDO PARA DESIGNAR JUEZA DEL JUZGADO FEDERAL DE PRIMERA INSTANCIA DE EJECUCIONES FISCALES TRIBUTARIAS N° 4 DE LA CAPITAL FEDERAL, A LA DRA. MARIA FLORENCIA MASSA.</t>
        </is>
      </c>
      <c r="G150" t="inlineStr">
        <is>
          <t xml:space="preserve"> 8 09/04/2026 -</t>
        </is>
      </c>
      <c r="I150" t="inlineStr">
        <is>
          <t>16/06/2026</t>
        </is>
      </c>
      <c r="J150" t="inlineStr">
        <is>
          <t xml:space="preserve"> 07/04/2026 -</t>
        </is>
      </c>
      <c r="L150" t="inlineStr">
        <is>
          <t xml:space="preserve"> 14/05/2026 -</t>
        </is>
      </c>
      <c r="M150" t="inlineStr">
        <is>
          <t xml:space="preserve"> 07/04/2026 -</t>
        </is>
      </c>
      <c r="N150" t="n">
        <v>71</v>
      </c>
      <c r="O150" t="inlineStr">
        <is>
          <t>DE ACUERDOS</t>
        </is>
      </c>
      <c r="P150" t="inlineStr">
        <is>
          <t>07/04/2026</t>
        </is>
      </c>
      <c r="Q150" t="inlineStr">
        <is>
          <t>14/05/2026</t>
        </is>
      </c>
      <c r="R150">
        <f>HYPERLINK("https://www.senado.gob.ar/parlamentario/parlamentaria/ordenDelDiaResultadoLink/2026/86"," 86 2026 AP -")</f>
        <v/>
      </c>
      <c r="S150" t="inlineStr">
        <is>
          <t xml:space="preserve">AP  04/06/2026            </t>
        </is>
      </c>
      <c r="T150" t="inlineStr">
        <is>
          <t xml:space="preserve"> - </t>
        </is>
      </c>
      <c r="V150" t="inlineStr">
        <is>
          <t>16/06/2026</t>
        </is>
      </c>
    </row>
    <row r="151">
      <c r="A151" t="inlineStr">
        <is>
          <t>PE</t>
        </is>
      </c>
      <c r="B151">
        <f>HYPERLINK("https://www.senado.gob.ar/parlamentario/comisiones/verExp/82.26/PE/AC","82")</f>
        <v/>
      </c>
      <c r="C151">
        <f>HYPERLINK("https://www.senado.gob.ar/parlamentario/comisiones/verExp/82.26/PE/AC","2026")</f>
        <v/>
      </c>
      <c r="D151" t="inlineStr">
        <is>
          <t>AC</t>
        </is>
      </c>
      <c r="E151" t="inlineStr">
        <is>
          <t>MENSAJE N° 92/26 QUE SOLICITA ACUERDO PARA DESIGNAR JUEZA DEL JUZGADO NACIONAL DE PRIMERA INSTANCIA EN LO CIVIL N° 94 DE LA CAPITAL FEDERAL, A LA DRA. GABRIELA MARIEL PALOPOLI.</t>
        </is>
      </c>
      <c r="G151" t="inlineStr">
        <is>
          <t xml:space="preserve"> 8 09/04/2026 -</t>
        </is>
      </c>
      <c r="I151" t="inlineStr">
        <is>
          <t>16/06/2026</t>
        </is>
      </c>
      <c r="J151" t="inlineStr">
        <is>
          <t xml:space="preserve"> 07/04/2026 -</t>
        </is>
      </c>
      <c r="L151" t="inlineStr">
        <is>
          <t xml:space="preserve"> 14/05/2026 -</t>
        </is>
      </c>
      <c r="M151" t="inlineStr">
        <is>
          <t xml:space="preserve"> 07/04/2026 -</t>
        </is>
      </c>
      <c r="N151" t="n">
        <v>71</v>
      </c>
      <c r="O151" t="inlineStr">
        <is>
          <t>DE ACUERDOS</t>
        </is>
      </c>
      <c r="P151" t="inlineStr">
        <is>
          <t>07/04/2026</t>
        </is>
      </c>
      <c r="Q151" t="inlineStr">
        <is>
          <t>14/05/2026</t>
        </is>
      </c>
      <c r="R151">
        <f>HYPERLINK("https://www.senado.gob.ar/parlamentario/parlamentaria/ordenDelDiaResultadoLink/2026/85"," 85 2026 AP -")</f>
        <v/>
      </c>
      <c r="S151" t="inlineStr">
        <is>
          <t xml:space="preserve">AP  04/06/2026            </t>
        </is>
      </c>
      <c r="T151" t="inlineStr">
        <is>
          <t xml:space="preserve"> - </t>
        </is>
      </c>
      <c r="V151" t="inlineStr">
        <is>
          <t>16/06/2026</t>
        </is>
      </c>
    </row>
    <row r="152">
      <c r="A152" t="inlineStr">
        <is>
          <t>PE</t>
        </is>
      </c>
      <c r="B152">
        <f>HYPERLINK("https://www.senado.gob.ar/parlamentario/comisiones/verExp/81.26/PE/AC","81")</f>
        <v/>
      </c>
      <c r="C152">
        <f>HYPERLINK("https://www.senado.gob.ar/parlamentario/comisiones/verExp/81.26/PE/AC","2026")</f>
        <v/>
      </c>
      <c r="D152" t="inlineStr">
        <is>
          <t>AC</t>
        </is>
      </c>
      <c r="E152" t="inlineStr">
        <is>
          <t xml:space="preserve">MENSAJE N° 91/26 QUE SOLICITA ACUERDO PARA DESIGNAR JUEZ DE CAMARA DEL TRIBUNAL ORAL EN LO CRIMINAL FEDERAL N° 2 DE SAN MARTIN, PROV. DE BUENOS AIRES, AL DR. MARIO ALBERTO FERRARIO.
</t>
        </is>
      </c>
      <c r="G152" t="inlineStr">
        <is>
          <t xml:space="preserve"> 8 09/04/2026 -</t>
        </is>
      </c>
      <c r="I152" t="inlineStr">
        <is>
          <t>16/06/2026</t>
        </is>
      </c>
      <c r="J152" t="inlineStr">
        <is>
          <t xml:space="preserve"> 07/04/2026 -</t>
        </is>
      </c>
      <c r="L152" t="inlineStr">
        <is>
          <t xml:space="preserve"> 14/05/2026 -</t>
        </is>
      </c>
      <c r="M152" t="inlineStr">
        <is>
          <t xml:space="preserve"> 07/04/2026 -</t>
        </is>
      </c>
      <c r="N152" t="n">
        <v>71</v>
      </c>
      <c r="O152" t="inlineStr">
        <is>
          <t>DE ACUERDOS</t>
        </is>
      </c>
      <c r="P152" t="inlineStr">
        <is>
          <t>07/04/2026</t>
        </is>
      </c>
      <c r="Q152" t="inlineStr">
        <is>
          <t>14/05/2026</t>
        </is>
      </c>
      <c r="R152">
        <f>HYPERLINK("https://www.senado.gob.ar/parlamentario/parlamentaria/ordenDelDiaResultadoLink/2026/84"," 84 2026 AP -")</f>
        <v/>
      </c>
      <c r="S152" t="inlineStr">
        <is>
          <t xml:space="preserve">AP  04/06/2026            </t>
        </is>
      </c>
      <c r="T152" t="inlineStr">
        <is>
          <t xml:space="preserve"> - </t>
        </is>
      </c>
      <c r="V152" t="inlineStr">
        <is>
          <t>16/06/2026</t>
        </is>
      </c>
    </row>
    <row r="153">
      <c r="A153" t="inlineStr">
        <is>
          <t>PE</t>
        </is>
      </c>
      <c r="B153">
        <f>HYPERLINK("https://www.senado.gob.ar/parlamentario/comisiones/verExp/80.26/PE/AC","80")</f>
        <v/>
      </c>
      <c r="C153">
        <f>HYPERLINK("https://www.senado.gob.ar/parlamentario/comisiones/verExp/80.26/PE/AC","2026")</f>
        <v/>
      </c>
      <c r="D153" t="inlineStr">
        <is>
          <t>AC</t>
        </is>
      </c>
      <c r="E153" t="inlineStr">
        <is>
          <t>MENSAJE N° 90/26 QUE SOLICITA ACUERDO PARA DESIGNAR JUEZ DEL TRIBUNAL FEDERAL DE JUICIO DE NEUQUEN, PROV. DEL NEUQUEN, AL DR. PABLO ANTONIO MATKOVIC.</t>
        </is>
      </c>
      <c r="G153" t="inlineStr">
        <is>
          <t xml:space="preserve"> 8 09/04/2026 -</t>
        </is>
      </c>
      <c r="I153" t="inlineStr">
        <is>
          <t>16/06/2026</t>
        </is>
      </c>
      <c r="J153" t="inlineStr">
        <is>
          <t xml:space="preserve"> 07/04/2026 -</t>
        </is>
      </c>
      <c r="L153" t="inlineStr">
        <is>
          <t xml:space="preserve"> 15/05/2026 -</t>
        </is>
      </c>
      <c r="M153" t="inlineStr">
        <is>
          <t xml:space="preserve"> 07/04/2026 -</t>
        </is>
      </c>
      <c r="N153" t="n">
        <v>71</v>
      </c>
      <c r="O153" t="inlineStr">
        <is>
          <t>DE ACUERDOS</t>
        </is>
      </c>
      <c r="P153" t="inlineStr">
        <is>
          <t>07/04/2026</t>
        </is>
      </c>
      <c r="Q153" t="inlineStr">
        <is>
          <t>15/05/2026</t>
        </is>
      </c>
      <c r="R153">
        <f>HYPERLINK("https://www.senado.gob.ar/parlamentario/parlamentaria/ordenDelDiaResultadoLink/2026/94"," 94 2026 AP -")</f>
        <v/>
      </c>
      <c r="S153" t="inlineStr">
        <is>
          <t xml:space="preserve">AP  04/06/2026            </t>
        </is>
      </c>
      <c r="T153" t="inlineStr">
        <is>
          <t xml:space="preserve"> - </t>
        </is>
      </c>
      <c r="V153" t="inlineStr">
        <is>
          <t>16/06/2026</t>
        </is>
      </c>
    </row>
    <row r="154">
      <c r="A154" t="inlineStr">
        <is>
          <t>PE</t>
        </is>
      </c>
      <c r="B154">
        <f>HYPERLINK("https://www.senado.gob.ar/parlamentario/comisiones/verExp/79.26/PE/AC","79")</f>
        <v/>
      </c>
      <c r="C154">
        <f>HYPERLINK("https://www.senado.gob.ar/parlamentario/comisiones/verExp/79.26/PE/AC","2026")</f>
        <v/>
      </c>
      <c r="D154" t="inlineStr">
        <is>
          <t>AC</t>
        </is>
      </c>
      <c r="E154" t="inlineStr">
        <is>
          <t>MENSAJE N° 89/26 QUE SOLICITA ACUERDO PARA DESIGNAR JUEZ DEL JUZGADO FEDERAL DE PRIMERA INSTANCIA DE RAFAELA, PROV. DE SANTA FE, AL DR. SANTIAGO JOAQUIN SAUX.</t>
        </is>
      </c>
      <c r="G154" t="inlineStr">
        <is>
          <t xml:space="preserve"> 8 09/04/2026 -</t>
        </is>
      </c>
      <c r="I154" t="inlineStr">
        <is>
          <t>16/06/2026</t>
        </is>
      </c>
      <c r="J154" t="inlineStr">
        <is>
          <t xml:space="preserve"> 07/04/2026 -</t>
        </is>
      </c>
      <c r="L154" t="inlineStr">
        <is>
          <t xml:space="preserve"> 15/05/2026 -</t>
        </is>
      </c>
      <c r="M154" t="inlineStr">
        <is>
          <t xml:space="preserve"> 07/04/2026 -</t>
        </is>
      </c>
      <c r="N154" t="n">
        <v>71</v>
      </c>
      <c r="O154" t="inlineStr">
        <is>
          <t>DE ACUERDOS</t>
        </is>
      </c>
      <c r="P154" t="inlineStr">
        <is>
          <t>07/04/2026</t>
        </is>
      </c>
      <c r="Q154" t="inlineStr">
        <is>
          <t>15/05/2026</t>
        </is>
      </c>
      <c r="R154">
        <f>HYPERLINK("https://www.senado.gob.ar/parlamentario/parlamentaria/ordenDelDiaResultadoLink/2026/93"," 93 2026 AP -")</f>
        <v/>
      </c>
      <c r="S154" t="inlineStr">
        <is>
          <t xml:space="preserve">AP  04/06/2026            </t>
        </is>
      </c>
      <c r="T154" t="inlineStr">
        <is>
          <t xml:space="preserve"> - </t>
        </is>
      </c>
      <c r="V154" t="inlineStr">
        <is>
          <t>16/06/2026</t>
        </is>
      </c>
    </row>
    <row r="155">
      <c r="A155" t="inlineStr">
        <is>
          <t>PE</t>
        </is>
      </c>
      <c r="B155">
        <f>HYPERLINK("https://www.senado.gob.ar/parlamentario/comisiones/verExp/78.26/PE/AC","78")</f>
        <v/>
      </c>
      <c r="C155">
        <f>HYPERLINK("https://www.senado.gob.ar/parlamentario/comisiones/verExp/78.26/PE/AC","2026")</f>
        <v/>
      </c>
      <c r="D155" t="inlineStr">
        <is>
          <t>AC</t>
        </is>
      </c>
      <c r="E155" t="inlineStr">
        <is>
          <t>MENSAJE N° 88/26 QUE SOLICITA ACUERDO PARA DESIGNAR JUEZ DEL JUZGADO NACIONAL EN LO CRIMINAL Y CORRECCIONAL N° 7 DE LA CAPITAL FEDERAL, AL DR. MARIANO FRANCISCO AMADURI.</t>
        </is>
      </c>
      <c r="G155" t="inlineStr">
        <is>
          <t xml:space="preserve"> 8 09/04/2026 -</t>
        </is>
      </c>
      <c r="I155" t="inlineStr">
        <is>
          <t>16/06/2026</t>
        </is>
      </c>
      <c r="J155" t="inlineStr">
        <is>
          <t xml:space="preserve"> 07/04/2026 -</t>
        </is>
      </c>
      <c r="L155" t="inlineStr">
        <is>
          <t xml:space="preserve"> 14/05/2026 -</t>
        </is>
      </c>
      <c r="M155" t="inlineStr">
        <is>
          <t xml:space="preserve"> 07/04/2026 -</t>
        </is>
      </c>
      <c r="N155" t="n">
        <v>71</v>
      </c>
      <c r="O155" t="inlineStr">
        <is>
          <t>DE ACUERDOS</t>
        </is>
      </c>
      <c r="P155" t="inlineStr">
        <is>
          <t>07/04/2026</t>
        </is>
      </c>
      <c r="Q155" t="inlineStr">
        <is>
          <t>14/05/2026</t>
        </is>
      </c>
      <c r="R155">
        <f>HYPERLINK("https://www.senado.gob.ar/parlamentario/parlamentaria/ordenDelDiaResultadoLink/2026/83"," 83 2026 AP -")</f>
        <v/>
      </c>
      <c r="S155" t="inlineStr">
        <is>
          <t xml:space="preserve">AP  04/06/2026            </t>
        </is>
      </c>
      <c r="T155" t="inlineStr">
        <is>
          <t xml:space="preserve"> - </t>
        </is>
      </c>
      <c r="V155" t="inlineStr">
        <is>
          <t>16/06/2026</t>
        </is>
      </c>
    </row>
    <row r="156">
      <c r="A156" t="inlineStr">
        <is>
          <t>PE</t>
        </is>
      </c>
      <c r="B156">
        <f>HYPERLINK("https://www.senado.gob.ar/parlamentario/comisiones/verExp/77.26/PE/AC","77")</f>
        <v/>
      </c>
      <c r="C156">
        <f>HYPERLINK("https://www.senado.gob.ar/parlamentario/comisiones/verExp/77.26/PE/AC","2026")</f>
        <v/>
      </c>
      <c r="D156" t="inlineStr">
        <is>
          <t>AC</t>
        </is>
      </c>
      <c r="E156" t="inlineStr">
        <is>
          <t>MENSAJE N° 87/26 QUE SOLICITA ACUERDO PARA DESIGNAR JUEZ DE CAMARA DEL TRIBUNAL ORAL EN LO CRIMINAL FEDERAL N° 5 DE SAN MARTIN, PROV. DE BUENOS AIRES, AL DR. JUAN MANUEL GASET MAISONAVE.</t>
        </is>
      </c>
      <c r="G156" t="inlineStr">
        <is>
          <t xml:space="preserve"> 8 09/04/2026 -</t>
        </is>
      </c>
      <c r="I156" t="inlineStr">
        <is>
          <t>16/06/2026</t>
        </is>
      </c>
      <c r="J156" t="inlineStr">
        <is>
          <t xml:space="preserve"> 07/04/2026 -</t>
        </is>
      </c>
      <c r="L156" t="inlineStr">
        <is>
          <t xml:space="preserve"> 14/05/2026 -</t>
        </is>
      </c>
      <c r="M156" t="inlineStr">
        <is>
          <t xml:space="preserve"> 07/04/2026 -</t>
        </is>
      </c>
      <c r="N156" t="n">
        <v>71</v>
      </c>
      <c r="O156" t="inlineStr">
        <is>
          <t>DE ACUERDOS</t>
        </is>
      </c>
      <c r="P156" t="inlineStr">
        <is>
          <t>07/04/2026</t>
        </is>
      </c>
      <c r="Q156" t="inlineStr">
        <is>
          <t>14/05/2026</t>
        </is>
      </c>
      <c r="R156">
        <f>HYPERLINK("https://www.senado.gob.ar/parlamentario/parlamentaria/ordenDelDiaResultadoLink/2026/82"," 82 2026 AP -")</f>
        <v/>
      </c>
      <c r="S156" t="inlineStr">
        <is>
          <t xml:space="preserve">AP  04/06/2026            </t>
        </is>
      </c>
      <c r="T156" t="inlineStr">
        <is>
          <t xml:space="preserve"> - </t>
        </is>
      </c>
      <c r="V156" t="inlineStr">
        <is>
          <t>16/06/2026</t>
        </is>
      </c>
    </row>
    <row r="157">
      <c r="A157" t="inlineStr">
        <is>
          <t>PE</t>
        </is>
      </c>
      <c r="B157">
        <f>HYPERLINK("https://www.senado.gob.ar/parlamentario/comisiones/verExp/76.26/PE/AC","76")</f>
        <v/>
      </c>
      <c r="C157">
        <f>HYPERLINK("https://www.senado.gob.ar/parlamentario/comisiones/verExp/76.26/PE/AC","2026")</f>
        <v/>
      </c>
      <c r="D157" t="inlineStr">
        <is>
          <t>AC</t>
        </is>
      </c>
      <c r="E157" t="inlineStr">
        <is>
          <t xml:space="preserve">MENSAJE N° 86/26 QUE SOLICITA ACUERDO PARA DESIGNAR JUEZ DEL JUZGADO NACIONAL EN LO CRIMINAL Y CORRECCIONAL N° 1 DE LA CAPITAL FEDERAL, AL DR. JOSE MIGUEL GUERRERO.
</t>
        </is>
      </c>
      <c r="G157" t="inlineStr">
        <is>
          <t xml:space="preserve"> 8 09/04/2026 -</t>
        </is>
      </c>
      <c r="I157" t="inlineStr">
        <is>
          <t>16/06/2026</t>
        </is>
      </c>
      <c r="J157" t="inlineStr">
        <is>
          <t xml:space="preserve"> 07/04/2026 -</t>
        </is>
      </c>
      <c r="L157" t="inlineStr">
        <is>
          <t xml:space="preserve"> 13/05/2026 -</t>
        </is>
      </c>
      <c r="M157" t="inlineStr">
        <is>
          <t xml:space="preserve"> 07/04/2026 -</t>
        </is>
      </c>
      <c r="N157" t="n">
        <v>71</v>
      </c>
      <c r="O157" t="inlineStr">
        <is>
          <t>DE ACUERDOS</t>
        </is>
      </c>
      <c r="P157" t="inlineStr">
        <is>
          <t>07/04/2026</t>
        </is>
      </c>
      <c r="Q157" t="inlineStr">
        <is>
          <t>13/05/2026</t>
        </is>
      </c>
      <c r="R157">
        <f>HYPERLINK("https://www.senado.gob.ar/parlamentario/parlamentaria/ordenDelDiaResultadoLink/2026/58"," 58 2026 AP -")</f>
        <v/>
      </c>
      <c r="S157" t="inlineStr">
        <is>
          <t xml:space="preserve">AP  04/06/2026            </t>
        </is>
      </c>
      <c r="T157" t="inlineStr">
        <is>
          <t xml:space="preserve"> - </t>
        </is>
      </c>
      <c r="V157" t="inlineStr">
        <is>
          <t>16/06/2026</t>
        </is>
      </c>
    </row>
    <row r="158">
      <c r="A158" t="inlineStr">
        <is>
          <t>PE</t>
        </is>
      </c>
      <c r="B158">
        <f>HYPERLINK("https://www.senado.gob.ar/parlamentario/comisiones/verExp/75.26/PE/AC","75")</f>
        <v/>
      </c>
      <c r="C158">
        <f>HYPERLINK("https://www.senado.gob.ar/parlamentario/comisiones/verExp/75.26/PE/AC","2026")</f>
        <v/>
      </c>
      <c r="D158" t="inlineStr">
        <is>
          <t>AC</t>
        </is>
      </c>
      <c r="E158" t="inlineStr">
        <is>
          <t xml:space="preserve">MENSAJE N° 85/26 QUE SOLICITA ACUERDO PARA DESIGNAR JUEZA DE CAMARA DEL TRIBUNAL ORAL EN LO CRIMINAL FEDERAL N° 1 DE LA PLATA, PROV. DE BUENOS AIRES, A LA DRA. JESICA YAEL SIRCOVICH.
</t>
        </is>
      </c>
      <c r="G158" t="inlineStr">
        <is>
          <t xml:space="preserve"> 7 09/04/2026 -</t>
        </is>
      </c>
      <c r="I158" t="inlineStr">
        <is>
          <t>16/06/2026</t>
        </is>
      </c>
      <c r="J158" t="inlineStr">
        <is>
          <t xml:space="preserve"> 06/04/2026 -</t>
        </is>
      </c>
      <c r="L158" t="inlineStr">
        <is>
          <t xml:space="preserve"> 14/05/2026 -</t>
        </is>
      </c>
      <c r="M158" t="inlineStr">
        <is>
          <t xml:space="preserve"> 06/04/2026 -</t>
        </is>
      </c>
      <c r="N158" t="n">
        <v>71</v>
      </c>
      <c r="O158" t="inlineStr">
        <is>
          <t>DE ACUERDOS</t>
        </is>
      </c>
      <c r="P158" t="inlineStr">
        <is>
          <t>06/04/2026</t>
        </is>
      </c>
      <c r="Q158" t="inlineStr">
        <is>
          <t>14/05/2026</t>
        </is>
      </c>
      <c r="R158">
        <f>HYPERLINK("https://www.senado.gob.ar/parlamentario/parlamentaria/ordenDelDiaResultadoLink/2026/81"," 81 2026 AP -")</f>
        <v/>
      </c>
      <c r="S158" t="inlineStr">
        <is>
          <t xml:space="preserve">AP  04/06/2026            </t>
        </is>
      </c>
      <c r="T158" t="inlineStr">
        <is>
          <t xml:space="preserve"> - </t>
        </is>
      </c>
      <c r="V158" t="inlineStr">
        <is>
          <t>16/06/2026</t>
        </is>
      </c>
    </row>
    <row r="159">
      <c r="A159" t="inlineStr">
        <is>
          <t>PE</t>
        </is>
      </c>
      <c r="B159">
        <f>HYPERLINK("https://www.senado.gob.ar/parlamentario/comisiones/verExp/73.26/PE/AC","73")</f>
        <v/>
      </c>
      <c r="C159">
        <f>HYPERLINK("https://www.senado.gob.ar/parlamentario/comisiones/verExp/73.26/PE/AC","2026")</f>
        <v/>
      </c>
      <c r="D159" t="inlineStr">
        <is>
          <t>AC</t>
        </is>
      </c>
      <c r="E159" t="inlineStr">
        <is>
          <t xml:space="preserve">MENSAJE N° 84/26 QUE SOLICITA ACUERDO PARA DESIGNAR FISCAL GENERAL ANTE LOS TRIBUNALES ORALES EN LO CRIMINAL Y CORRECCIONAL DE LA CAPITAL FEDERAL, FISCALIA N°9, AL DR.  SANTIAGO VISMARA.
</t>
        </is>
      </c>
      <c r="G159" t="inlineStr">
        <is>
          <t xml:space="preserve"> 6 09/04/2026 -</t>
        </is>
      </c>
      <c r="I159" t="inlineStr">
        <is>
          <t>16/06/2026</t>
        </is>
      </c>
      <c r="J159" t="inlineStr">
        <is>
          <t xml:space="preserve"> 01/04/2026 -</t>
        </is>
      </c>
      <c r="L159" t="inlineStr">
        <is>
          <t xml:space="preserve"> 13/05/2026 -</t>
        </is>
      </c>
      <c r="M159" t="inlineStr">
        <is>
          <t xml:space="preserve"> 01/04/2026 -</t>
        </is>
      </c>
      <c r="N159" t="n">
        <v>71</v>
      </c>
      <c r="O159" t="inlineStr">
        <is>
          <t>DE ACUERDOS</t>
        </is>
      </c>
      <c r="P159" t="inlineStr">
        <is>
          <t>01/04/2026</t>
        </is>
      </c>
      <c r="Q159" t="inlineStr">
        <is>
          <t>13/05/2026</t>
        </is>
      </c>
      <c r="R159">
        <f>HYPERLINK("https://www.senado.gob.ar/parlamentario/parlamentaria/ordenDelDiaResultadoLink/2026/57"," 57 2026 AP -")</f>
        <v/>
      </c>
      <c r="S159" t="inlineStr">
        <is>
          <t xml:space="preserve">AP  04/06/2026            </t>
        </is>
      </c>
      <c r="T159" t="inlineStr">
        <is>
          <t xml:space="preserve"> - </t>
        </is>
      </c>
      <c r="V159" t="inlineStr">
        <is>
          <t>16/06/2026</t>
        </is>
      </c>
    </row>
    <row r="160">
      <c r="A160" t="inlineStr">
        <is>
          <t>PE</t>
        </is>
      </c>
      <c r="B160">
        <f>HYPERLINK("https://www.senado.gob.ar/parlamentario/comisiones/verExp/72.26/PE/AC","72")</f>
        <v/>
      </c>
      <c r="C160">
        <f>HYPERLINK("https://www.senado.gob.ar/parlamentario/comisiones/verExp/72.26/PE/AC","2026")</f>
        <v/>
      </c>
      <c r="D160" t="inlineStr">
        <is>
          <t>AC</t>
        </is>
      </c>
      <c r="E160" t="inlineStr">
        <is>
          <t xml:space="preserve">MENSAJE N° 83/26 QUE SOLICITA ACUERDO PARA DESIGNAR DEFENSOR PUBLICO OFICIAL FEDERAL DEL INTERIOR DEL PAIS CON ASIENTO EN LA CDAD. DE MENDOZA, PROV. DE MENDOZA, AL DR. CARLOS AGUSTIN PARMA.
</t>
        </is>
      </c>
      <c r="G160" t="inlineStr">
        <is>
          <t xml:space="preserve"> 6 09/04/2026 -</t>
        </is>
      </c>
      <c r="I160" t="inlineStr">
        <is>
          <t>16/06/2026</t>
        </is>
      </c>
      <c r="J160" t="inlineStr">
        <is>
          <t xml:space="preserve"> 01/04/2026 -</t>
        </is>
      </c>
      <c r="L160" t="inlineStr">
        <is>
          <t xml:space="preserve"> 15/05/2026 -</t>
        </is>
      </c>
      <c r="M160" t="inlineStr">
        <is>
          <t xml:space="preserve"> 01/04/2026 -</t>
        </is>
      </c>
      <c r="N160" t="n">
        <v>71</v>
      </c>
      <c r="O160" t="inlineStr">
        <is>
          <t>DE ACUERDOS</t>
        </is>
      </c>
      <c r="P160" t="inlineStr">
        <is>
          <t>01/04/2026</t>
        </is>
      </c>
      <c r="Q160" t="inlineStr">
        <is>
          <t>15/05/2026</t>
        </is>
      </c>
      <c r="R160">
        <f>HYPERLINK("https://www.senado.gob.ar/parlamentario/parlamentaria/ordenDelDiaResultadoLink/2026/92"," 92 2026 AP -")</f>
        <v/>
      </c>
      <c r="S160" t="inlineStr">
        <is>
          <t xml:space="preserve">AP  04/06/2026            </t>
        </is>
      </c>
      <c r="T160" t="inlineStr">
        <is>
          <t xml:space="preserve"> - </t>
        </is>
      </c>
      <c r="V160" t="inlineStr">
        <is>
          <t>16/06/2026</t>
        </is>
      </c>
    </row>
    <row r="161">
      <c r="A161" t="inlineStr">
        <is>
          <t>PE</t>
        </is>
      </c>
      <c r="B161">
        <f>HYPERLINK("https://www.senado.gob.ar/parlamentario/comisiones/verExp/71.26/PE/AC","71")</f>
        <v/>
      </c>
      <c r="C161">
        <f>HYPERLINK("https://www.senado.gob.ar/parlamentario/comisiones/verExp/71.26/PE/AC","2026")</f>
        <v/>
      </c>
      <c r="D161" t="inlineStr">
        <is>
          <t>AC</t>
        </is>
      </c>
      <c r="E161" t="inlineStr">
        <is>
          <t>MENSAJE N° 81/26 QUE SOLICITA ACUERDO PARA DESIGNAR VOCAL DE LA CAMARA NACIONAL DE APELACIONES EN LO CRIMINAL Y CORRECCIONAL DE LA CAPITAL FEDERAL, VOCALIA N° 14, A LA DRA. YAMILE SUSANA BERNAN.</t>
        </is>
      </c>
      <c r="G161" t="inlineStr">
        <is>
          <t xml:space="preserve"> 5 09/04/2026 -</t>
        </is>
      </c>
      <c r="I161" t="inlineStr">
        <is>
          <t>16/06/2026</t>
        </is>
      </c>
      <c r="J161" t="inlineStr">
        <is>
          <t xml:space="preserve"> 31/03/2026 -</t>
        </is>
      </c>
      <c r="L161" t="inlineStr">
        <is>
          <t xml:space="preserve"> 14/05/2026 -</t>
        </is>
      </c>
      <c r="M161" t="inlineStr">
        <is>
          <t xml:space="preserve"> 31/03/2026 -</t>
        </is>
      </c>
      <c r="N161" t="n">
        <v>71</v>
      </c>
      <c r="O161" t="inlineStr">
        <is>
          <t>DE ACUERDOS</t>
        </is>
      </c>
      <c r="P161" t="inlineStr">
        <is>
          <t>31/03/2026</t>
        </is>
      </c>
      <c r="Q161" t="inlineStr">
        <is>
          <t>14/05/2026</t>
        </is>
      </c>
      <c r="R161">
        <f>HYPERLINK("https://www.senado.gob.ar/parlamentario/parlamentaria/ordenDelDiaResultadoLink/2026/80"," 80 2026 AP -")</f>
        <v/>
      </c>
      <c r="S161" t="inlineStr">
        <is>
          <t xml:space="preserve">AP  04/06/2026            </t>
        </is>
      </c>
      <c r="T161" t="inlineStr">
        <is>
          <t xml:space="preserve"> - </t>
        </is>
      </c>
      <c r="V161" t="inlineStr">
        <is>
          <t>16/06/2026</t>
        </is>
      </c>
    </row>
    <row r="162">
      <c r="A162" t="inlineStr">
        <is>
          <t>PE</t>
        </is>
      </c>
      <c r="B162">
        <f>HYPERLINK("https://www.senado.gob.ar/parlamentario/comisiones/verExp/70.26/PE/AC","70")</f>
        <v/>
      </c>
      <c r="C162">
        <f>HYPERLINK("https://www.senado.gob.ar/parlamentario/comisiones/verExp/70.26/PE/AC","2026")</f>
        <v/>
      </c>
      <c r="D162" t="inlineStr">
        <is>
          <t>AC</t>
        </is>
      </c>
      <c r="E162" t="inlineStr">
        <is>
          <t>MENSAJE N° 80/26 QUE SOLICITA ACUERDO PARA DESIGNAR JUEZA DEL JUZGADO NACIONAL DE PRIMERA INSTANCIA EN LO COMERCIAL N° 22 DE LA CAPITAL FEDERAL, A LA DRA. MARIA AGUSTINA BOYAJIAN RIVAS.</t>
        </is>
      </c>
      <c r="G162" t="inlineStr">
        <is>
          <t xml:space="preserve"> 5 09/04/2026 -</t>
        </is>
      </c>
      <c r="I162" t="inlineStr">
        <is>
          <t>16/06/2026</t>
        </is>
      </c>
      <c r="J162" t="inlineStr">
        <is>
          <t xml:space="preserve"> 31/03/2026 -</t>
        </is>
      </c>
      <c r="L162" t="inlineStr">
        <is>
          <t xml:space="preserve"> 14/05/2026 -</t>
        </is>
      </c>
      <c r="M162" t="inlineStr">
        <is>
          <t xml:space="preserve"> 31/03/2026 -</t>
        </is>
      </c>
      <c r="N162" t="n">
        <v>71</v>
      </c>
      <c r="O162" t="inlineStr">
        <is>
          <t>DE ACUERDOS</t>
        </is>
      </c>
      <c r="P162" t="inlineStr">
        <is>
          <t>31/03/2026</t>
        </is>
      </c>
      <c r="Q162" t="inlineStr">
        <is>
          <t>14/05/2026</t>
        </is>
      </c>
      <c r="R162">
        <f>HYPERLINK("https://www.senado.gob.ar/parlamentario/parlamentaria/ordenDelDiaResultadoLink/2026/79"," 79 2026 AP -")</f>
        <v/>
      </c>
      <c r="S162" t="inlineStr">
        <is>
          <t xml:space="preserve">AP  04/06/2026            </t>
        </is>
      </c>
      <c r="T162" t="inlineStr">
        <is>
          <t xml:space="preserve"> - </t>
        </is>
      </c>
      <c r="V162" t="inlineStr">
        <is>
          <t>16/06/2026</t>
        </is>
      </c>
    </row>
    <row r="163">
      <c r="A163" t="inlineStr">
        <is>
          <t>PE</t>
        </is>
      </c>
      <c r="B163">
        <f>HYPERLINK("https://www.senado.gob.ar/parlamentario/comisiones/verExp/69.26/PE/AC","69")</f>
        <v/>
      </c>
      <c r="C163">
        <f>HYPERLINK("https://www.senado.gob.ar/parlamentario/comisiones/verExp/69.26/PE/AC","2026")</f>
        <v/>
      </c>
      <c r="D163" t="inlineStr">
        <is>
          <t>AC</t>
        </is>
      </c>
      <c r="E163" t="inlineStr">
        <is>
          <t>MENSAJE N° 79/26 QUE SOLICITA ACUERDO PARA DESIGNAR JUEZA DEL JUZGADO FEDERAL DE PRIMERA INSTANCIA DE EJECUCIONES FISCALES TRIBUTARIAS N° 3 DE LA CAPITAL FEDERAL, A LA DRA. MARIA LAURA AMERI.</t>
        </is>
      </c>
      <c r="G163" t="inlineStr">
        <is>
          <t xml:space="preserve"> 5 09/04/2026 -</t>
        </is>
      </c>
      <c r="I163" t="inlineStr">
        <is>
          <t>16/06/2026</t>
        </is>
      </c>
      <c r="J163" t="inlineStr">
        <is>
          <t xml:space="preserve"> 31/03/2026 -</t>
        </is>
      </c>
      <c r="L163" t="inlineStr">
        <is>
          <t xml:space="preserve"> 14/05/2026 -</t>
        </is>
      </c>
      <c r="M163" t="inlineStr">
        <is>
          <t xml:space="preserve"> 31/03/2026 -</t>
        </is>
      </c>
      <c r="N163" t="n">
        <v>71</v>
      </c>
      <c r="O163" t="inlineStr">
        <is>
          <t>DE ACUERDOS</t>
        </is>
      </c>
      <c r="P163" t="inlineStr">
        <is>
          <t>31/03/2026</t>
        </is>
      </c>
      <c r="Q163" t="inlineStr">
        <is>
          <t>14/05/2026</t>
        </is>
      </c>
      <c r="R163">
        <f>HYPERLINK("https://www.senado.gob.ar/parlamentario/parlamentaria/ordenDelDiaResultadoLink/2026/78"," 78 2026 AP -")</f>
        <v/>
      </c>
      <c r="S163" t="inlineStr">
        <is>
          <t xml:space="preserve">AP  04/06/2026            </t>
        </is>
      </c>
      <c r="T163" t="inlineStr">
        <is>
          <t xml:space="preserve"> - </t>
        </is>
      </c>
      <c r="V163" t="inlineStr">
        <is>
          <t>16/06/2026</t>
        </is>
      </c>
    </row>
    <row r="164">
      <c r="A164" t="inlineStr">
        <is>
          <t>PE</t>
        </is>
      </c>
      <c r="B164">
        <f>HYPERLINK("https://www.senado.gob.ar/parlamentario/comisiones/verExp/68.26/PE/AC","68")</f>
        <v/>
      </c>
      <c r="C164">
        <f>HYPERLINK("https://www.senado.gob.ar/parlamentario/comisiones/verExp/68.26/PE/AC","2026")</f>
        <v/>
      </c>
      <c r="D164" t="inlineStr">
        <is>
          <t>AC</t>
        </is>
      </c>
      <c r="E164" t="inlineStr">
        <is>
          <t>MENSAJE N° 78/26 QUE SOLICITA ACUERDO PARA DESIGNAR JUEZ DEL JUZGADO FEDERAL DE PRIMERA INSTANCIA DE LA SEGURIDAD SOCIAL N° 10 DE LA CAPITAL FEDERAL, AL DR. DIEGO ALLIEVI.</t>
        </is>
      </c>
      <c r="G164" t="inlineStr">
        <is>
          <t xml:space="preserve"> 5 09/04/2026 -</t>
        </is>
      </c>
      <c r="I164" t="inlineStr">
        <is>
          <t>16/06/2026</t>
        </is>
      </c>
      <c r="J164" t="inlineStr">
        <is>
          <t xml:space="preserve"> 31/03/2026 -</t>
        </is>
      </c>
      <c r="L164" t="inlineStr">
        <is>
          <t xml:space="preserve"> 14/05/2026 -</t>
        </is>
      </c>
      <c r="M164" t="inlineStr">
        <is>
          <t xml:space="preserve"> 31/03/2026 -</t>
        </is>
      </c>
      <c r="N164" t="n">
        <v>71</v>
      </c>
      <c r="O164" t="inlineStr">
        <is>
          <t>DE ACUERDOS</t>
        </is>
      </c>
      <c r="P164" t="inlineStr">
        <is>
          <t>31/03/2026</t>
        </is>
      </c>
      <c r="Q164" t="inlineStr">
        <is>
          <t>14/05/2026</t>
        </is>
      </c>
      <c r="R164">
        <f>HYPERLINK("https://www.senado.gob.ar/parlamentario/parlamentaria/ordenDelDiaResultadoLink/2026/77"," 77 2026 AP -")</f>
        <v/>
      </c>
      <c r="S164" t="inlineStr">
        <is>
          <t xml:space="preserve">AP  04/06/2026            </t>
        </is>
      </c>
      <c r="T164" t="inlineStr">
        <is>
          <t xml:space="preserve"> - </t>
        </is>
      </c>
      <c r="V164" t="inlineStr">
        <is>
          <t>16/06/2026</t>
        </is>
      </c>
    </row>
    <row r="165">
      <c r="A165" t="inlineStr">
        <is>
          <t>PE</t>
        </is>
      </c>
      <c r="B165">
        <f>HYPERLINK("https://www.senado.gob.ar/parlamentario/comisiones/verExp/67.26/PE/AC","67")</f>
        <v/>
      </c>
      <c r="C165">
        <f>HYPERLINK("https://www.senado.gob.ar/parlamentario/comisiones/verExp/67.26/PE/AC","2026")</f>
        <v/>
      </c>
      <c r="D165" t="inlineStr">
        <is>
          <t>AC</t>
        </is>
      </c>
      <c r="E165" t="inlineStr">
        <is>
          <t xml:space="preserve">MENSAJE N° 77/26 QUE SOLICITA ACUERDO PARA DESIGNAR JUEZ DEL JUZGADO NACIONAL DE PRIMERA INSTANCIA EN LO CIVIL N° 25 DE LA CAPITAL FEDERAL, AL DR. SANTOS ENRIQUE CIFUENTES.
</t>
        </is>
      </c>
      <c r="G165" t="inlineStr">
        <is>
          <t xml:space="preserve"> 5 09/04/2026 -</t>
        </is>
      </c>
      <c r="I165" t="inlineStr">
        <is>
          <t>16/06/2026</t>
        </is>
      </c>
      <c r="J165" t="inlineStr">
        <is>
          <t xml:space="preserve"> 31/03/2026 -</t>
        </is>
      </c>
      <c r="L165" t="inlineStr">
        <is>
          <t xml:space="preserve"> 14/05/2026 -</t>
        </is>
      </c>
      <c r="M165" t="inlineStr">
        <is>
          <t xml:space="preserve"> 31/03/2026 -</t>
        </is>
      </c>
      <c r="N165" t="n">
        <v>71</v>
      </c>
      <c r="O165" t="inlineStr">
        <is>
          <t>DE ACUERDOS</t>
        </is>
      </c>
      <c r="P165" t="inlineStr">
        <is>
          <t>31/03/2026</t>
        </is>
      </c>
      <c r="Q165" t="inlineStr">
        <is>
          <t>14/05/2026</t>
        </is>
      </c>
      <c r="R165">
        <f>HYPERLINK("https://www.senado.gob.ar/parlamentario/parlamentaria/ordenDelDiaResultadoLink/2026/76"," 76 2026 AP -")</f>
        <v/>
      </c>
      <c r="S165" t="inlineStr">
        <is>
          <t xml:space="preserve">AP  04/06/2026            </t>
        </is>
      </c>
      <c r="T165" t="inlineStr">
        <is>
          <t xml:space="preserve"> - </t>
        </is>
      </c>
      <c r="V165" t="inlineStr">
        <is>
          <t>16/06/2026</t>
        </is>
      </c>
    </row>
    <row r="166">
      <c r="A166" t="inlineStr">
        <is>
          <t>PE</t>
        </is>
      </c>
      <c r="B166">
        <f>HYPERLINK("https://www.senado.gob.ar/parlamentario/comisiones/verExp/66.26/PE/AC","66")</f>
        <v/>
      </c>
      <c r="C166">
        <f>HYPERLINK("https://www.senado.gob.ar/parlamentario/comisiones/verExp/66.26/PE/AC","2026")</f>
        <v/>
      </c>
      <c r="D166" t="inlineStr">
        <is>
          <t>AC</t>
        </is>
      </c>
      <c r="E166" t="inlineStr">
        <is>
          <t xml:space="preserve">MENSAJE N° 76/26 QUE SOLICITA ACUERDO PARA DESIGNAR JUEZ DEL JUZGADO FEDERAL DE GARANTIAS N° 2 DE SANTA FE, PROVINCIA DE SANTA FE, AL DR. WALTER ALBERTO RODRIGUEZ.
</t>
        </is>
      </c>
      <c r="G166" t="inlineStr">
        <is>
          <t xml:space="preserve"> 5 09/04/2026 -</t>
        </is>
      </c>
      <c r="I166" t="inlineStr">
        <is>
          <t>16/06/2026</t>
        </is>
      </c>
      <c r="J166" t="inlineStr">
        <is>
          <t xml:space="preserve"> 31/03/2026 -</t>
        </is>
      </c>
      <c r="L166" t="inlineStr">
        <is>
          <t xml:space="preserve"> 15/05/2026 -</t>
        </is>
      </c>
      <c r="M166" t="inlineStr">
        <is>
          <t xml:space="preserve"> 31/03/2026 -</t>
        </is>
      </c>
      <c r="N166" t="n">
        <v>71</v>
      </c>
      <c r="O166" t="inlineStr">
        <is>
          <t>DE ACUERDOS</t>
        </is>
      </c>
      <c r="P166" t="inlineStr">
        <is>
          <t>31/03/2026</t>
        </is>
      </c>
      <c r="Q166" t="inlineStr">
        <is>
          <t>15/05/2026</t>
        </is>
      </c>
      <c r="R166">
        <f>HYPERLINK("https://www.senado.gob.ar/parlamentario/parlamentaria/ordenDelDiaResultadoLink/2026/91"," 91 2026 AP -")</f>
        <v/>
      </c>
      <c r="S166" t="inlineStr">
        <is>
          <t xml:space="preserve">AP  04/06/2026            </t>
        </is>
      </c>
      <c r="T166" t="inlineStr">
        <is>
          <t xml:space="preserve"> - </t>
        </is>
      </c>
      <c r="V166" t="inlineStr">
        <is>
          <t>16/06/2026</t>
        </is>
      </c>
    </row>
    <row r="167">
      <c r="A167" t="inlineStr">
        <is>
          <t>PE</t>
        </is>
      </c>
      <c r="B167">
        <f>HYPERLINK("https://www.senado.gob.ar/parlamentario/comisiones/verExp/65.26/PE/AC","65")</f>
        <v/>
      </c>
      <c r="C167">
        <f>HYPERLINK("https://www.senado.gob.ar/parlamentario/comisiones/verExp/65.26/PE/AC","2026")</f>
        <v/>
      </c>
      <c r="D167" t="inlineStr">
        <is>
          <t>AC</t>
        </is>
      </c>
      <c r="E167" t="inlineStr">
        <is>
          <t>MENSAJE N° 75/26 QUE SOLICITA ACUERDO PARA DESIGNAR JUEZ DEL JUZGADO NACIONAL EN LO CRIMINAL Y CORRECCIONAL Nª 47 DE LA CAPITAL FEDERAL AL DR. PABLO FEDERICO MOYA.</t>
        </is>
      </c>
      <c r="G167" t="inlineStr">
        <is>
          <t xml:space="preserve"> 5 09/04/2026 -</t>
        </is>
      </c>
      <c r="I167" t="inlineStr">
        <is>
          <t>16/06/2026</t>
        </is>
      </c>
      <c r="J167" t="inlineStr">
        <is>
          <t xml:space="preserve"> 31/03/2026 -</t>
        </is>
      </c>
      <c r="L167" t="inlineStr">
        <is>
          <t xml:space="preserve"> 14/05/2026 -</t>
        </is>
      </c>
      <c r="M167" t="inlineStr">
        <is>
          <t xml:space="preserve"> 31/03/2026 -</t>
        </is>
      </c>
      <c r="N167" t="n">
        <v>71</v>
      </c>
      <c r="O167" t="inlineStr">
        <is>
          <t>DE ACUERDOS</t>
        </is>
      </c>
      <c r="P167" t="inlineStr">
        <is>
          <t>31/03/2026</t>
        </is>
      </c>
      <c r="Q167" t="inlineStr">
        <is>
          <t>14/05/2026</t>
        </is>
      </c>
      <c r="R167">
        <f>HYPERLINK("https://www.senado.gob.ar/parlamentario/parlamentaria/ordenDelDiaResultadoLink/2026/75"," 75 2026 AP -")</f>
        <v/>
      </c>
      <c r="S167" t="inlineStr">
        <is>
          <t xml:space="preserve">AP  04/06/2026            </t>
        </is>
      </c>
      <c r="T167" t="inlineStr">
        <is>
          <t xml:space="preserve"> - </t>
        </is>
      </c>
      <c r="V167" t="inlineStr">
        <is>
          <t>16/06/2026</t>
        </is>
      </c>
    </row>
    <row r="168">
      <c r="A168" t="inlineStr">
        <is>
          <t>PE</t>
        </is>
      </c>
      <c r="B168">
        <f>HYPERLINK("https://www.senado.gob.ar/parlamentario/comisiones/verExp/64.26/PE/AC","64")</f>
        <v/>
      </c>
      <c r="C168">
        <f>HYPERLINK("https://www.senado.gob.ar/parlamentario/comisiones/verExp/64.26/PE/AC","2026")</f>
        <v/>
      </c>
      <c r="D168" t="inlineStr">
        <is>
          <t>AC</t>
        </is>
      </c>
      <c r="E168" t="inlineStr">
        <is>
          <t xml:space="preserve">MENSAJE N° 74/26 QUE SOLICITA ACUERDO PARA DESIGNAR JUEZA DEL JUZGADO FEDERAL DE PRIMERA INSTANCIA DE HURLINGHAM, PROV. DE BUENOS AIRES A LA DRA. MARIA CRISTINA JUAN.
</t>
        </is>
      </c>
      <c r="G168" t="inlineStr">
        <is>
          <t xml:space="preserve"> 5 09/04/2026 -</t>
        </is>
      </c>
      <c r="I168" t="inlineStr">
        <is>
          <t>16/06/2026</t>
        </is>
      </c>
      <c r="J168" t="inlineStr">
        <is>
          <t xml:space="preserve"> 31/03/2026 -</t>
        </is>
      </c>
      <c r="L168" t="inlineStr">
        <is>
          <t xml:space="preserve"> 14/05/2026 -</t>
        </is>
      </c>
      <c r="M168" t="inlineStr">
        <is>
          <t xml:space="preserve"> 31/03/2026 -</t>
        </is>
      </c>
      <c r="N168" t="n">
        <v>71</v>
      </c>
      <c r="O168" t="inlineStr">
        <is>
          <t>DE ACUERDOS</t>
        </is>
      </c>
      <c r="P168" t="inlineStr">
        <is>
          <t>31/03/2026</t>
        </is>
      </c>
      <c r="Q168" t="inlineStr">
        <is>
          <t>14/05/2026</t>
        </is>
      </c>
      <c r="R168">
        <f>HYPERLINK("https://www.senado.gob.ar/parlamentario/parlamentaria/ordenDelDiaResultadoLink/2026/74"," 74 2026 AP -")</f>
        <v/>
      </c>
      <c r="S168" t="inlineStr">
        <is>
          <t xml:space="preserve">AP  04/06/2026            </t>
        </is>
      </c>
      <c r="T168" t="inlineStr">
        <is>
          <t xml:space="preserve"> - </t>
        </is>
      </c>
      <c r="V168" t="inlineStr">
        <is>
          <t>16/06/2026</t>
        </is>
      </c>
    </row>
    <row r="169">
      <c r="A169" t="inlineStr">
        <is>
          <t>PE</t>
        </is>
      </c>
      <c r="B169">
        <f>HYPERLINK("https://www.senado.gob.ar/parlamentario/comisiones/verExp/63.26/PE/AC","63")</f>
        <v/>
      </c>
      <c r="C169">
        <f>HYPERLINK("https://www.senado.gob.ar/parlamentario/comisiones/verExp/63.26/PE/AC","2026")</f>
        <v/>
      </c>
      <c r="D169" t="inlineStr">
        <is>
          <t>AC</t>
        </is>
      </c>
      <c r="E169" t="inlineStr">
        <is>
          <t>MENSAJE N° 73/26 QUE SOLICITA ACUERDO PARA DESIGNAR VOCAL DE LA CAMARA NACIONAL DE APELACIONES EN LO COMERCIAL DE LA CAPITAL FEDERAL, SALA B, AL DR. JORGE DJIVARIS.</t>
        </is>
      </c>
      <c r="G169" t="inlineStr">
        <is>
          <t xml:space="preserve"> 5 09/04/2026 -</t>
        </is>
      </c>
      <c r="I169" t="inlineStr">
        <is>
          <t>16/06/2026</t>
        </is>
      </c>
      <c r="J169" t="inlineStr">
        <is>
          <t xml:space="preserve"> 31/03/2026 -</t>
        </is>
      </c>
      <c r="L169" t="inlineStr">
        <is>
          <t xml:space="preserve"> 14/05/2026 -</t>
        </is>
      </c>
      <c r="M169" t="inlineStr">
        <is>
          <t xml:space="preserve"> 31/03/2026 -</t>
        </is>
      </c>
      <c r="N169" t="n">
        <v>71</v>
      </c>
      <c r="O169" t="inlineStr">
        <is>
          <t>DE ACUERDOS</t>
        </is>
      </c>
      <c r="P169" t="inlineStr">
        <is>
          <t>31/03/2026</t>
        </is>
      </c>
      <c r="Q169" t="inlineStr">
        <is>
          <t>14/05/2026</t>
        </is>
      </c>
      <c r="R169">
        <f>HYPERLINK("https://www.senado.gob.ar/parlamentario/parlamentaria/ordenDelDiaResultadoLink/2026/73"," 73 2026 AP -")</f>
        <v/>
      </c>
      <c r="S169" t="inlineStr">
        <is>
          <t xml:space="preserve">AP  04/06/2026            </t>
        </is>
      </c>
      <c r="T169" t="inlineStr">
        <is>
          <t xml:space="preserve"> - </t>
        </is>
      </c>
      <c r="V169" t="inlineStr">
        <is>
          <t>16/06/2026</t>
        </is>
      </c>
    </row>
    <row r="170">
      <c r="A170" t="inlineStr">
        <is>
          <t>PE</t>
        </is>
      </c>
      <c r="B170">
        <f>HYPERLINK("https://www.senado.gob.ar/parlamentario/comisiones/verExp/62.26/PE/AC","62")</f>
        <v/>
      </c>
      <c r="C170">
        <f>HYPERLINK("https://www.senado.gob.ar/parlamentario/comisiones/verExp/62.26/PE/AC","2026")</f>
        <v/>
      </c>
      <c r="D170" t="inlineStr">
        <is>
          <t>AC</t>
        </is>
      </c>
      <c r="E170" t="inlineStr">
        <is>
          <t>MENSAJE N° 72/26 QUE SOLICITA ACUERDO PARA DESIGNAR VOCAL DE LA CAMARA FEDERAL DE APELACIONES DE LA PLATA, PROV. DE BUENOS AIRES, SALA I, AL DR. LAUREANO ALBERTO DURAN.</t>
        </is>
      </c>
      <c r="G170" t="inlineStr">
        <is>
          <t xml:space="preserve"> 5 09/04/2026 -</t>
        </is>
      </c>
      <c r="I170" t="inlineStr">
        <is>
          <t>16/06/2026</t>
        </is>
      </c>
      <c r="J170" t="inlineStr">
        <is>
          <t xml:space="preserve"> 31/03/2026 -</t>
        </is>
      </c>
      <c r="L170" t="inlineStr">
        <is>
          <t xml:space="preserve"> 14/05/2026 -</t>
        </is>
      </c>
      <c r="M170" t="inlineStr">
        <is>
          <t xml:space="preserve"> 31/03/2026 -</t>
        </is>
      </c>
      <c r="N170" t="n">
        <v>71</v>
      </c>
      <c r="O170" t="inlineStr">
        <is>
          <t>DE ACUERDOS</t>
        </is>
      </c>
      <c r="P170" t="inlineStr">
        <is>
          <t>31/03/2026</t>
        </is>
      </c>
      <c r="Q170" t="inlineStr">
        <is>
          <t>14/05/2026</t>
        </is>
      </c>
      <c r="R170">
        <f>HYPERLINK("https://www.senado.gob.ar/parlamentario/parlamentaria/ordenDelDiaResultadoLink/2026/72"," 72 2026 AP -")</f>
        <v/>
      </c>
      <c r="S170" t="inlineStr">
        <is>
          <t xml:space="preserve">AP  04/06/2026            </t>
        </is>
      </c>
      <c r="T170" t="inlineStr">
        <is>
          <t xml:space="preserve"> - </t>
        </is>
      </c>
      <c r="V170" t="inlineStr">
        <is>
          <t>16/06/2026</t>
        </is>
      </c>
    </row>
    <row r="171">
      <c r="A171" t="inlineStr">
        <is>
          <t>PE</t>
        </is>
      </c>
      <c r="B171">
        <f>HYPERLINK("https://www.senado.gob.ar/parlamentario/comisiones/verExp/61.26/PE/AC","61")</f>
        <v/>
      </c>
      <c r="C171">
        <f>HYPERLINK("https://www.senado.gob.ar/parlamentario/comisiones/verExp/61.26/PE/AC","2026")</f>
        <v/>
      </c>
      <c r="D171" t="inlineStr">
        <is>
          <t>AC</t>
        </is>
      </c>
      <c r="E171" t="inlineStr">
        <is>
          <t>MENSAJE N° 71/26 QUE SOLICITA ACUERDO PARA DESIGNAR JUEZ DE CAMARA DEL TRIBUNAL ORAL EN LO PENAL ECONOMICO N° 2 DE LA CAPITAL FEDERAL, AL DR. FEDERICO NOVELLO.</t>
        </is>
      </c>
      <c r="G171" t="inlineStr">
        <is>
          <t xml:space="preserve"> 5 09/04/2026 -</t>
        </is>
      </c>
      <c r="I171" t="inlineStr">
        <is>
          <t>16/06/2026</t>
        </is>
      </c>
      <c r="J171" t="inlineStr">
        <is>
          <t xml:space="preserve"> 31/03/2026 -</t>
        </is>
      </c>
      <c r="L171" t="inlineStr">
        <is>
          <t xml:space="preserve"> 14/05/2026 -</t>
        </is>
      </c>
      <c r="M171" t="inlineStr">
        <is>
          <t xml:space="preserve"> 31/03/2026 -</t>
        </is>
      </c>
      <c r="N171" t="n">
        <v>71</v>
      </c>
      <c r="O171" t="inlineStr">
        <is>
          <t>DE ACUERDOS</t>
        </is>
      </c>
      <c r="P171" t="inlineStr">
        <is>
          <t>31/03/2026</t>
        </is>
      </c>
      <c r="Q171" t="inlineStr">
        <is>
          <t>14/05/2026</t>
        </is>
      </c>
      <c r="R171">
        <f>HYPERLINK("https://www.senado.gob.ar/parlamentario/parlamentaria/ordenDelDiaResultadoLink/2026/71"," 71 2026 AP -")</f>
        <v/>
      </c>
      <c r="S171" t="inlineStr">
        <is>
          <t xml:space="preserve">AP  04/06/2026            </t>
        </is>
      </c>
      <c r="T171" t="inlineStr">
        <is>
          <t xml:space="preserve"> - </t>
        </is>
      </c>
      <c r="V171" t="inlineStr">
        <is>
          <t>16/06/2026</t>
        </is>
      </c>
    </row>
    <row r="172">
      <c r="A172" t="inlineStr">
        <is>
          <t>PE</t>
        </is>
      </c>
      <c r="B172">
        <f>HYPERLINK("https://www.senado.gob.ar/parlamentario/comisiones/verExp/60.26/PE/AC","60")</f>
        <v/>
      </c>
      <c r="C172">
        <f>HYPERLINK("https://www.senado.gob.ar/parlamentario/comisiones/verExp/60.26/PE/AC","2026")</f>
        <v/>
      </c>
      <c r="D172" t="inlineStr">
        <is>
          <t>AC</t>
        </is>
      </c>
      <c r="E172" t="inlineStr">
        <is>
          <t xml:space="preserve">MENSAJE N° 70/26 QUE SOLICITA ACUERDO PARA DESIGNAR JUEZ DE CAMARA DEL TRIBUNAL ORAL EN LO CRIMINAL FEDERAL N° 5 DE SAN MARTIN, PROVINCIA DE BUENOS AIRES, AL DR. JAVIER MATIAS ARZUBI CALVO.
</t>
        </is>
      </c>
      <c r="G172" t="inlineStr">
        <is>
          <t xml:space="preserve"> 5 09/04/2026 -</t>
        </is>
      </c>
      <c r="I172" t="inlineStr">
        <is>
          <t>16/06/2026</t>
        </is>
      </c>
      <c r="J172" t="inlineStr">
        <is>
          <t xml:space="preserve"> 31/03/2026 -</t>
        </is>
      </c>
      <c r="L172" t="inlineStr">
        <is>
          <t xml:space="preserve"> 14/05/2026 -</t>
        </is>
      </c>
      <c r="M172" t="inlineStr">
        <is>
          <t xml:space="preserve"> 31/03/2026 -</t>
        </is>
      </c>
      <c r="N172" t="n">
        <v>71</v>
      </c>
      <c r="O172" t="inlineStr">
        <is>
          <t>DE ACUERDOS</t>
        </is>
      </c>
      <c r="P172" t="inlineStr">
        <is>
          <t>31/03/2026</t>
        </is>
      </c>
      <c r="Q172" t="inlineStr">
        <is>
          <t>14/05/2026</t>
        </is>
      </c>
      <c r="R172">
        <f>HYPERLINK("https://www.senado.gob.ar/parlamentario/parlamentaria/ordenDelDiaResultadoLink/2026/70"," 70 2026 AP -")</f>
        <v/>
      </c>
      <c r="S172" t="inlineStr">
        <is>
          <t xml:space="preserve">AP  04/06/2026            </t>
        </is>
      </c>
      <c r="T172" t="inlineStr">
        <is>
          <t xml:space="preserve"> - </t>
        </is>
      </c>
      <c r="V172" t="inlineStr">
        <is>
          <t>16/06/2026</t>
        </is>
      </c>
    </row>
    <row r="173">
      <c r="A173" t="inlineStr">
        <is>
          <t>PE</t>
        </is>
      </c>
      <c r="B173">
        <f>HYPERLINK("https://www.senado.gob.ar/parlamentario/comisiones/verExp/59.26/PE/AC","59")</f>
        <v/>
      </c>
      <c r="C173">
        <f>HYPERLINK("https://www.senado.gob.ar/parlamentario/comisiones/verExp/59.26/PE/AC","2026")</f>
        <v/>
      </c>
      <c r="D173" t="inlineStr">
        <is>
          <t>AC</t>
        </is>
      </c>
      <c r="E173" t="inlineStr">
        <is>
          <t xml:space="preserve">MENSAJE N° 69/26 QUE SOLICITA ACUERDO PARA DESIGNAR FISCAL ANTE LOS JUZGADOS NACIONALES EN LO PENAL ECONOMICO, FISCALIA N° 1, AL DR. JUAN ANDRES MOLDES.
</t>
        </is>
      </c>
      <c r="G173" t="inlineStr">
        <is>
          <t xml:space="preserve"> 4 09/04/2026 -</t>
        </is>
      </c>
      <c r="I173" t="inlineStr">
        <is>
          <t>16/06/2026</t>
        </is>
      </c>
      <c r="J173" t="inlineStr">
        <is>
          <t xml:space="preserve"> 30/03/2026 -</t>
        </is>
      </c>
      <c r="L173" t="inlineStr">
        <is>
          <t xml:space="preserve"> 14/05/2026 -</t>
        </is>
      </c>
      <c r="M173" t="inlineStr">
        <is>
          <t xml:space="preserve"> 30/03/2026 -</t>
        </is>
      </c>
      <c r="N173" t="n">
        <v>71</v>
      </c>
      <c r="O173" t="inlineStr">
        <is>
          <t>DE ACUERDOS</t>
        </is>
      </c>
      <c r="P173" t="inlineStr">
        <is>
          <t>30/03/2026</t>
        </is>
      </c>
      <c r="Q173" t="inlineStr">
        <is>
          <t>14/05/2026</t>
        </is>
      </c>
      <c r="R173">
        <f>HYPERLINK("https://www.senado.gob.ar/parlamentario/parlamentaria/ordenDelDiaResultadoLink/2026/69"," 69 2026 AP -")</f>
        <v/>
      </c>
      <c r="S173" t="inlineStr">
        <is>
          <t xml:space="preserve">AP  04/06/2026            </t>
        </is>
      </c>
      <c r="T173" t="inlineStr">
        <is>
          <t xml:space="preserve"> - </t>
        </is>
      </c>
      <c r="V173" t="inlineStr">
        <is>
          <t>16/06/2026</t>
        </is>
      </c>
    </row>
    <row r="174">
      <c r="A174" t="inlineStr">
        <is>
          <t>PE</t>
        </is>
      </c>
      <c r="B174">
        <f>HYPERLINK("https://www.senado.gob.ar/parlamentario/comisiones/verExp/58.26/PE/AC","58")</f>
        <v/>
      </c>
      <c r="C174">
        <f>HYPERLINK("https://www.senado.gob.ar/parlamentario/comisiones/verExp/58.26/PE/AC","2026")</f>
        <v/>
      </c>
      <c r="D174" t="inlineStr">
        <is>
          <t>AC</t>
        </is>
      </c>
      <c r="E174" t="inlineStr">
        <is>
          <t>MENSAJE N° 68/26 QUE SOLICITA ACUERDO PARA DESIGNAR JUEZ DEL TRIBUNAL FEDERAL DE JUICIO DE SANTA FE, PROVINCIA DE SANTA FE, AL DR. EMILIO ROSATTI.</t>
        </is>
      </c>
      <c r="G174" t="inlineStr">
        <is>
          <t xml:space="preserve"> 4 09/04/2026 -</t>
        </is>
      </c>
      <c r="I174" t="inlineStr">
        <is>
          <t>16/06/2026</t>
        </is>
      </c>
      <c r="J174" t="inlineStr">
        <is>
          <t xml:space="preserve"> 30/03/2026 -</t>
        </is>
      </c>
      <c r="L174" t="inlineStr">
        <is>
          <t xml:space="preserve"> 15/05/2026 -</t>
        </is>
      </c>
      <c r="M174" t="inlineStr">
        <is>
          <t xml:space="preserve"> 30/03/2026 -</t>
        </is>
      </c>
      <c r="N174" t="n">
        <v>71</v>
      </c>
      <c r="O174" t="inlineStr">
        <is>
          <t>DE ACUERDOS</t>
        </is>
      </c>
      <c r="P174" t="inlineStr">
        <is>
          <t>30/03/2026</t>
        </is>
      </c>
      <c r="Q174" t="inlineStr">
        <is>
          <t>15/05/2026</t>
        </is>
      </c>
      <c r="R174">
        <f>HYPERLINK("https://www.senado.gob.ar/parlamentario/parlamentaria/ordenDelDiaResultadoLink/2026/90"," 90 2026 AP -")</f>
        <v/>
      </c>
      <c r="S174" t="inlineStr">
        <is>
          <t xml:space="preserve">AP  04/06/2026            </t>
        </is>
      </c>
      <c r="T174" t="inlineStr">
        <is>
          <t xml:space="preserve"> - </t>
        </is>
      </c>
      <c r="V174" t="inlineStr">
        <is>
          <t>16/06/2026</t>
        </is>
      </c>
    </row>
    <row r="175">
      <c r="A175" t="inlineStr">
        <is>
          <t>PE</t>
        </is>
      </c>
      <c r="B175">
        <f>HYPERLINK("https://www.senado.gob.ar/parlamentario/comisiones/verExp/57.26/PE/AC","57")</f>
        <v/>
      </c>
      <c r="C175">
        <f>HYPERLINK("https://www.senado.gob.ar/parlamentario/comisiones/verExp/57.26/PE/AC","2026")</f>
        <v/>
      </c>
      <c r="D175" t="inlineStr">
        <is>
          <t>AC</t>
        </is>
      </c>
      <c r="E175" t="inlineStr">
        <is>
          <t xml:space="preserve">MENSAJE N° 67/26 QUE SOLICITA ACUERDO PARA DESIGNAR JUEZA DEL JUZGADO NACIONAL DE PRIMERA INSTANCIA EN LO CIVIL Nº 62 DE LA CAPITAL FEDERAL, A LA DRA. LAURA WISZNIACKI.
</t>
        </is>
      </c>
      <c r="G175" t="inlineStr">
        <is>
          <t xml:space="preserve"> 4 09/04/2026 -</t>
        </is>
      </c>
      <c r="I175" t="inlineStr">
        <is>
          <t>16/06/2026</t>
        </is>
      </c>
      <c r="J175" t="inlineStr">
        <is>
          <t xml:space="preserve"> 30/03/2026 -</t>
        </is>
      </c>
      <c r="L175" t="inlineStr">
        <is>
          <t xml:space="preserve"> 14/05/2026 -</t>
        </is>
      </c>
      <c r="M175" t="inlineStr">
        <is>
          <t xml:space="preserve"> 30/03/2026 -</t>
        </is>
      </c>
      <c r="N175" t="n">
        <v>71</v>
      </c>
      <c r="O175" t="inlineStr">
        <is>
          <t>DE ACUERDOS</t>
        </is>
      </c>
      <c r="P175" t="inlineStr">
        <is>
          <t>30/03/2026</t>
        </is>
      </c>
      <c r="Q175" t="inlineStr">
        <is>
          <t>14/05/2026</t>
        </is>
      </c>
      <c r="R175">
        <f>HYPERLINK("https://www.senado.gob.ar/parlamentario/parlamentaria/ordenDelDiaResultadoLink/2026/68"," 68 2026 AP -")</f>
        <v/>
      </c>
      <c r="S175" t="inlineStr">
        <is>
          <t xml:space="preserve">AP  04/06/2026            </t>
        </is>
      </c>
      <c r="T175" t="inlineStr">
        <is>
          <t xml:space="preserve"> - </t>
        </is>
      </c>
      <c r="V175" t="inlineStr">
        <is>
          <t>16/06/2026</t>
        </is>
      </c>
    </row>
    <row r="176">
      <c r="A176" t="inlineStr">
        <is>
          <t>PE</t>
        </is>
      </c>
      <c r="B176">
        <f>HYPERLINK("https://www.senado.gob.ar/parlamentario/comisiones/verExp/56.26/PE/AC","56")</f>
        <v/>
      </c>
      <c r="C176">
        <f>HYPERLINK("https://www.senado.gob.ar/parlamentario/comisiones/verExp/56.26/PE/AC","2026")</f>
        <v/>
      </c>
      <c r="D176" t="inlineStr">
        <is>
          <t>AC</t>
        </is>
      </c>
      <c r="E176" t="inlineStr">
        <is>
          <t>MENSAJE N° 66/26 QUE SOLICITA ACUERDO PARA DESIGNAR JUEZ DE CAMARA DEL TRIBUNAL ORAL EN LO CRIMINAL Y CORRECCIONAL Nº 7 DE LA CAPITAL FEDERAL AL DR. NICOLAS RAMON CEBALLOS.</t>
        </is>
      </c>
      <c r="G176" t="inlineStr">
        <is>
          <t xml:space="preserve"> 4 09/04/2026 -</t>
        </is>
      </c>
      <c r="I176" t="inlineStr">
        <is>
          <t>16/06/2026</t>
        </is>
      </c>
      <c r="J176" t="inlineStr">
        <is>
          <t xml:space="preserve"> 30/03/2026 -</t>
        </is>
      </c>
      <c r="L176" t="inlineStr">
        <is>
          <t xml:space="preserve"> 14/05/2026 -</t>
        </is>
      </c>
      <c r="M176" t="inlineStr">
        <is>
          <t xml:space="preserve"> 30/03/2026 -</t>
        </is>
      </c>
      <c r="N176" t="n">
        <v>71</v>
      </c>
      <c r="O176" t="inlineStr">
        <is>
          <t>DE ACUERDOS</t>
        </is>
      </c>
      <c r="P176" t="inlineStr">
        <is>
          <t>30/03/2026</t>
        </is>
      </c>
      <c r="Q176" t="inlineStr">
        <is>
          <t>14/05/2026</t>
        </is>
      </c>
      <c r="R176">
        <f>HYPERLINK("https://www.senado.gob.ar/parlamentario/parlamentaria/ordenDelDiaResultadoLink/2026/67"," 67 2026 AP -")</f>
        <v/>
      </c>
      <c r="S176" t="inlineStr">
        <is>
          <t xml:space="preserve">AP  04/06/2026            </t>
        </is>
      </c>
      <c r="T176" t="inlineStr">
        <is>
          <t xml:space="preserve"> - </t>
        </is>
      </c>
      <c r="V176" t="inlineStr">
        <is>
          <t>16/06/2026</t>
        </is>
      </c>
    </row>
    <row r="177">
      <c r="A177" t="inlineStr">
        <is>
          <t>PE</t>
        </is>
      </c>
      <c r="B177">
        <f>HYPERLINK("https://www.senado.gob.ar/parlamentario/comisiones/verExp/55.26/PE/AC","55")</f>
        <v/>
      </c>
      <c r="C177">
        <f>HYPERLINK("https://www.senado.gob.ar/parlamentario/comisiones/verExp/55.26/PE/AC","2026")</f>
        <v/>
      </c>
      <c r="D177" t="inlineStr">
        <is>
          <t>AC</t>
        </is>
      </c>
      <c r="E177" t="inlineStr">
        <is>
          <t>MENSAJE Nº 65/26 QUE SOLICITA ACUERDO PARA DESIGNAR JUEZA DEL JUZGADO NACIONAL EN LO CRIMINAL Y CORRECCIONAL N° 23 DE LA CAPITAL FEDERAL, A LA DRA. LAURA FABIANA KVITKO.</t>
        </is>
      </c>
      <c r="G177" t="inlineStr">
        <is>
          <t xml:space="preserve"> 4 09/04/2026 -</t>
        </is>
      </c>
      <c r="I177" t="inlineStr">
        <is>
          <t>16/06/2026</t>
        </is>
      </c>
      <c r="J177" t="inlineStr">
        <is>
          <t xml:space="preserve"> 30/03/2026 -</t>
        </is>
      </c>
      <c r="L177" t="inlineStr">
        <is>
          <t xml:space="preserve"> 13/05/2026 -</t>
        </is>
      </c>
      <c r="M177" t="inlineStr">
        <is>
          <t xml:space="preserve"> 30/03/2026 -</t>
        </is>
      </c>
      <c r="N177" t="n">
        <v>71</v>
      </c>
      <c r="O177" t="inlineStr">
        <is>
          <t>DE ACUERDOS</t>
        </is>
      </c>
      <c r="P177" t="inlineStr">
        <is>
          <t>30/03/2026</t>
        </is>
      </c>
      <c r="Q177" t="inlineStr">
        <is>
          <t>13/05/2026</t>
        </is>
      </c>
      <c r="R177">
        <f>HYPERLINK("https://www.senado.gob.ar/parlamentario/parlamentaria/ordenDelDiaResultadoLink/2026/56"," 56 2026 AP -")</f>
        <v/>
      </c>
      <c r="S177" t="inlineStr">
        <is>
          <t xml:space="preserve">AP  04/06/2026            </t>
        </is>
      </c>
      <c r="T177" t="inlineStr">
        <is>
          <t xml:space="preserve"> - </t>
        </is>
      </c>
      <c r="V177" t="inlineStr">
        <is>
          <t>16/06/2026</t>
        </is>
      </c>
    </row>
    <row r="178">
      <c r="A178" t="inlineStr">
        <is>
          <t>PE</t>
        </is>
      </c>
      <c r="B178">
        <f>HYPERLINK("https://www.senado.gob.ar/parlamentario/comisiones/verExp/54.26/PE/AC","54")</f>
        <v/>
      </c>
      <c r="C178">
        <f>HYPERLINK("https://www.senado.gob.ar/parlamentario/comisiones/verExp/54.26/PE/AC","2026")</f>
        <v/>
      </c>
      <c r="D178" t="inlineStr">
        <is>
          <t>AC</t>
        </is>
      </c>
      <c r="E178" t="inlineStr">
        <is>
          <t xml:space="preserve">MENSAJE N° 31/26 QUE SOLICITA ACUERDO PARA DESIGNAR JUEZ DE CÁMARA DEL TRIBUNAL ORAL EN LO CRIMINAL FEDERAL N° 3 DE SAN MARTÍN, PROVINCIA DE BUENOS AIRES, AL DR. PABLO JAVIER FLORES.
</t>
        </is>
      </c>
      <c r="G178" t="inlineStr">
        <is>
          <t xml:space="preserve"> 4 09/04/2026 -</t>
        </is>
      </c>
      <c r="I178" t="inlineStr">
        <is>
          <t>16/06/2026</t>
        </is>
      </c>
      <c r="J178" t="inlineStr">
        <is>
          <t xml:space="preserve"> 30/03/2026 -</t>
        </is>
      </c>
      <c r="L178" t="inlineStr">
        <is>
          <t xml:space="preserve"> 14/05/2026 -</t>
        </is>
      </c>
      <c r="M178" t="inlineStr">
        <is>
          <t xml:space="preserve"> 30/03/2026 -</t>
        </is>
      </c>
      <c r="N178" t="n">
        <v>71</v>
      </c>
      <c r="O178" t="inlineStr">
        <is>
          <t>DE ACUERDOS</t>
        </is>
      </c>
      <c r="P178" t="inlineStr">
        <is>
          <t>30/03/2026</t>
        </is>
      </c>
      <c r="Q178" t="inlineStr">
        <is>
          <t>14/05/2026</t>
        </is>
      </c>
      <c r="R178">
        <f>HYPERLINK("https://www.senado.gob.ar/parlamentario/parlamentaria/ordenDelDiaResultadoLink/2026/66"," 66 2026 AP -")</f>
        <v/>
      </c>
      <c r="S178" t="inlineStr">
        <is>
          <t xml:space="preserve">AP  04/06/2026            </t>
        </is>
      </c>
      <c r="T178" t="inlineStr">
        <is>
          <t xml:space="preserve"> - </t>
        </is>
      </c>
      <c r="V178" t="inlineStr">
        <is>
          <t>16/06/2026</t>
        </is>
      </c>
    </row>
    <row r="179">
      <c r="A179" t="inlineStr">
        <is>
          <t>PE</t>
        </is>
      </c>
      <c r="B179">
        <f>HYPERLINK("https://www.senado.gob.ar/parlamentario/comisiones/verExp/53.26/PE/AC","53")</f>
        <v/>
      </c>
      <c r="C179">
        <f>HYPERLINK("https://www.senado.gob.ar/parlamentario/comisiones/verExp/53.26/PE/AC","2026")</f>
        <v/>
      </c>
      <c r="D179" t="inlineStr">
        <is>
          <t>AC</t>
        </is>
      </c>
      <c r="E179" t="inlineStr">
        <is>
          <t>MENSAJE N° 64/26 QUE SOLICITA ACUERDO PARA DESIGNAR VOCAL DE LA CAMARA FEDERAL DE LA SEGURIDAD SOCIAL, SALA III, AL DR. FERNANDO STRASSER.</t>
        </is>
      </c>
      <c r="G179" t="inlineStr">
        <is>
          <t xml:space="preserve"> 4 09/04/2026 -</t>
        </is>
      </c>
      <c r="I179" t="inlineStr">
        <is>
          <t>16/06/2026</t>
        </is>
      </c>
      <c r="J179" t="inlineStr">
        <is>
          <t xml:space="preserve"> 30/03/2026 -</t>
        </is>
      </c>
      <c r="L179" t="inlineStr">
        <is>
          <t xml:space="preserve"> 14/05/2026 -</t>
        </is>
      </c>
      <c r="M179" t="inlineStr">
        <is>
          <t xml:space="preserve"> 30/03/2026 -</t>
        </is>
      </c>
      <c r="N179" t="n">
        <v>71</v>
      </c>
      <c r="O179" t="inlineStr">
        <is>
          <t>DE ACUERDOS</t>
        </is>
      </c>
      <c r="P179" t="inlineStr">
        <is>
          <t>30/03/2026</t>
        </is>
      </c>
      <c r="Q179" t="inlineStr">
        <is>
          <t>14/05/2026</t>
        </is>
      </c>
      <c r="R179">
        <f>HYPERLINK("https://www.senado.gob.ar/parlamentario/parlamentaria/ordenDelDiaResultadoLink/2026/65"," 65 2026 AP -")</f>
        <v/>
      </c>
      <c r="S179" t="inlineStr">
        <is>
          <t xml:space="preserve">AP  04/06/2026            </t>
        </is>
      </c>
      <c r="T179" t="inlineStr">
        <is>
          <t xml:space="preserve"> - </t>
        </is>
      </c>
      <c r="V179" t="inlineStr">
        <is>
          <t>16/06/2026</t>
        </is>
      </c>
    </row>
    <row r="180">
      <c r="A180" t="inlineStr">
        <is>
          <t>PE</t>
        </is>
      </c>
      <c r="B180">
        <f>HYPERLINK("https://www.senado.gob.ar/parlamentario/comisiones/verExp/52.26/PE/AC","52")</f>
        <v/>
      </c>
      <c r="C180">
        <f>HYPERLINK("https://www.senado.gob.ar/parlamentario/comisiones/verExp/52.26/PE/AC","2026")</f>
        <v/>
      </c>
      <c r="D180" t="inlineStr">
        <is>
          <t>AC</t>
        </is>
      </c>
      <c r="E180" t="inlineStr">
        <is>
          <t>MENSAJE N° 63/26 QUE SOLICITA ACUERDO PARA DESIGNAR VOCAL DE LA CAMARA FEDERAL DE LA SEGURIDAD SOCIAL, SALA II, AL DR. WALTER FABIAN CARNOTA.</t>
        </is>
      </c>
      <c r="G180" t="inlineStr">
        <is>
          <t xml:space="preserve"> 4 09/04/2026 -</t>
        </is>
      </c>
      <c r="I180" t="inlineStr">
        <is>
          <t>16/06/2026</t>
        </is>
      </c>
      <c r="J180" t="inlineStr">
        <is>
          <t xml:space="preserve"> 30/03/2026 -</t>
        </is>
      </c>
      <c r="L180" t="inlineStr">
        <is>
          <t xml:space="preserve"> 14/05/2026 -</t>
        </is>
      </c>
      <c r="M180" t="inlineStr">
        <is>
          <t xml:space="preserve"> 30/03/2026 -</t>
        </is>
      </c>
      <c r="N180" t="n">
        <v>71</v>
      </c>
      <c r="O180" t="inlineStr">
        <is>
          <t>DE ACUERDOS</t>
        </is>
      </c>
      <c r="P180" t="inlineStr">
        <is>
          <t>30/03/2026</t>
        </is>
      </c>
      <c r="Q180" t="inlineStr">
        <is>
          <t>14/05/2026</t>
        </is>
      </c>
      <c r="R180">
        <f>HYPERLINK("https://www.senado.gob.ar/parlamentario/parlamentaria/ordenDelDiaResultadoLink/2026/64"," 64 2026 AP -")</f>
        <v/>
      </c>
      <c r="S180" t="inlineStr">
        <is>
          <t xml:space="preserve">AP  04/06/2026            </t>
        </is>
      </c>
      <c r="T180" t="inlineStr">
        <is>
          <t xml:space="preserve"> - </t>
        </is>
      </c>
      <c r="V180" t="inlineStr">
        <is>
          <t>16/06/2026</t>
        </is>
      </c>
    </row>
    <row r="181">
      <c r="A181" t="inlineStr">
        <is>
          <t>PE</t>
        </is>
      </c>
      <c r="B181">
        <f>HYPERLINK("https://www.senado.gob.ar/parlamentario/comisiones/verExp/51.26/PE/AC","51")</f>
        <v/>
      </c>
      <c r="C181">
        <f>HYPERLINK("https://www.senado.gob.ar/parlamentario/comisiones/verExp/51.26/PE/AC","2026")</f>
        <v/>
      </c>
      <c r="D181" t="inlineStr">
        <is>
          <t>AC</t>
        </is>
      </c>
      <c r="E181" t="inlineStr">
        <is>
          <t>MENSAJE N° 62/26 QUE SOLICITA ACUERDO PARA DESIGNAR VOCAL DE LA CAMARA NACIONAL DE APELACIONES EN LO CIVIL DE LA CAPITAL FEDERAL, SALA K, A LA DRA. LUCILA INES CORDOBA.</t>
        </is>
      </c>
      <c r="G181" t="inlineStr">
        <is>
          <t xml:space="preserve"> 4 09/04/2026 -</t>
        </is>
      </c>
      <c r="I181" t="inlineStr">
        <is>
          <t>16/06/2026</t>
        </is>
      </c>
      <c r="J181" t="inlineStr">
        <is>
          <t xml:space="preserve"> 30/03/2026 -</t>
        </is>
      </c>
      <c r="L181" t="inlineStr">
        <is>
          <t xml:space="preserve"> 13/05/2026 -</t>
        </is>
      </c>
      <c r="M181" t="inlineStr">
        <is>
          <t xml:space="preserve"> 30/03/2026 -</t>
        </is>
      </c>
      <c r="N181" t="n">
        <v>71</v>
      </c>
      <c r="O181" t="inlineStr">
        <is>
          <t>DE ACUERDOS</t>
        </is>
      </c>
      <c r="P181" t="inlineStr">
        <is>
          <t>30/03/2026</t>
        </is>
      </c>
      <c r="Q181" t="inlineStr">
        <is>
          <t>13/05/2026</t>
        </is>
      </c>
      <c r="R181">
        <f>HYPERLINK("https://www.senado.gob.ar/parlamentario/parlamentaria/ordenDelDiaResultadoLink/2026/55"," 55 2026 AP -")</f>
        <v/>
      </c>
      <c r="S181" t="inlineStr">
        <is>
          <t xml:space="preserve">AP  04/06/2026            </t>
        </is>
      </c>
      <c r="T181" t="inlineStr">
        <is>
          <t xml:space="preserve"> - </t>
        </is>
      </c>
      <c r="V181" t="inlineStr">
        <is>
          <t>16/06/2026</t>
        </is>
      </c>
    </row>
    <row r="182">
      <c r="A182" t="inlineStr">
        <is>
          <t>PE</t>
        </is>
      </c>
      <c r="B182">
        <f>HYPERLINK("https://www.senado.gob.ar/parlamentario/comisiones/verExp/50.26/PE/AC","50")</f>
        <v/>
      </c>
      <c r="C182">
        <f>HYPERLINK("https://www.senado.gob.ar/parlamentario/comisiones/verExp/50.26/PE/AC","2026")</f>
        <v/>
      </c>
      <c r="D182" t="inlineStr">
        <is>
          <t>AC</t>
        </is>
      </c>
      <c r="E182" t="inlineStr">
        <is>
          <t>MENSAJE N° 61/26 QUE SOLICITA ACUERDO PARA DESIGNAR VOCAL DE LA CAMARA NACIONAL DE APELACIONES EN LO CIVIL DE LA CAPITAL FEDERAL, SALA F, A LA DRA. PAULA ANDREA CASTRO.</t>
        </is>
      </c>
      <c r="G182" t="inlineStr">
        <is>
          <t xml:space="preserve"> 4 09/04/2026 -</t>
        </is>
      </c>
      <c r="I182" t="inlineStr">
        <is>
          <t>16/06/2026</t>
        </is>
      </c>
      <c r="J182" t="inlineStr">
        <is>
          <t xml:space="preserve"> 30/03/2026 -</t>
        </is>
      </c>
      <c r="L182" t="inlineStr">
        <is>
          <t xml:space="preserve"> 13/05/2026 -</t>
        </is>
      </c>
      <c r="M182" t="inlineStr">
        <is>
          <t xml:space="preserve"> 30/03/2026 -</t>
        </is>
      </c>
      <c r="N182" t="n">
        <v>71</v>
      </c>
      <c r="O182" t="inlineStr">
        <is>
          <t>DE ACUERDOS</t>
        </is>
      </c>
      <c r="P182" t="inlineStr">
        <is>
          <t>30/03/2026</t>
        </is>
      </c>
      <c r="Q182" t="inlineStr">
        <is>
          <t>13/05/2026</t>
        </is>
      </c>
      <c r="R182">
        <f>HYPERLINK("https://www.senado.gob.ar/parlamentario/parlamentaria/ordenDelDiaResultadoLink/2026/54"," 54 2026 AP -")</f>
        <v/>
      </c>
      <c r="S182" t="inlineStr">
        <is>
          <t xml:space="preserve">AP  04/06/2026            </t>
        </is>
      </c>
      <c r="T182" t="inlineStr">
        <is>
          <t xml:space="preserve"> - </t>
        </is>
      </c>
      <c r="V182" t="inlineStr">
        <is>
          <t>16/06/2026</t>
        </is>
      </c>
    </row>
    <row r="183">
      <c r="A183" t="inlineStr">
        <is>
          <t>PE</t>
        </is>
      </c>
      <c r="B183">
        <f>HYPERLINK("https://www.senado.gob.ar/parlamentario/comisiones/verExp/49.26/PE/AC","49")</f>
        <v/>
      </c>
      <c r="C183">
        <f>HYPERLINK("https://www.senado.gob.ar/parlamentario/comisiones/verExp/49.26/PE/AC","2026")</f>
        <v/>
      </c>
      <c r="D183" t="inlineStr">
        <is>
          <t>AC</t>
        </is>
      </c>
      <c r="E183" t="inlineStr">
        <is>
          <t>MENSAJE N° 60/26 QUE SOLICITA ACUERDO PARA DESIGNAR VOCAL DE LA CAMARA NACIONAL DE APELACIONES EN LO CIVIL DE LA CAPITAL FEDERAL, SALA E, A LA DRA. SAMANTA CLAUDIA BISCARDI.</t>
        </is>
      </c>
      <c r="G183" t="inlineStr">
        <is>
          <t xml:space="preserve"> 4 09/04/2026 -</t>
        </is>
      </c>
      <c r="I183" t="inlineStr">
        <is>
          <t>16/06/2026</t>
        </is>
      </c>
      <c r="J183" t="inlineStr">
        <is>
          <t xml:space="preserve"> 30/03/2026 -</t>
        </is>
      </c>
      <c r="L183" t="inlineStr">
        <is>
          <t xml:space="preserve"> 13/05/2026 -</t>
        </is>
      </c>
      <c r="M183" t="inlineStr">
        <is>
          <t xml:space="preserve"> 30/03/2026 -</t>
        </is>
      </c>
      <c r="N183" t="n">
        <v>71</v>
      </c>
      <c r="O183" t="inlineStr">
        <is>
          <t>DE ACUERDOS</t>
        </is>
      </c>
      <c r="P183" t="inlineStr">
        <is>
          <t>30/03/2026</t>
        </is>
      </c>
      <c r="Q183" t="inlineStr">
        <is>
          <t>13/05/2026</t>
        </is>
      </c>
      <c r="R183">
        <f>HYPERLINK("https://www.senado.gob.ar/parlamentario/parlamentaria/ordenDelDiaResultadoLink/2026/53"," 53 2026 AP -")</f>
        <v/>
      </c>
      <c r="S183" t="inlineStr">
        <is>
          <t xml:space="preserve">AP  04/06/2026            </t>
        </is>
      </c>
      <c r="T183" t="inlineStr">
        <is>
          <t xml:space="preserve"> - </t>
        </is>
      </c>
      <c r="V183" t="inlineStr">
        <is>
          <t>16/06/2026</t>
        </is>
      </c>
    </row>
    <row r="184">
      <c r="A184" t="inlineStr">
        <is>
          <t>PE</t>
        </is>
      </c>
      <c r="B184">
        <f>HYPERLINK("https://www.senado.gob.ar/parlamentario/comisiones/verExp/48.26/PE/AC","48")</f>
        <v/>
      </c>
      <c r="C184">
        <f>HYPERLINK("https://www.senado.gob.ar/parlamentario/comisiones/verExp/48.26/PE/AC","2026")</f>
        <v/>
      </c>
      <c r="D184" t="inlineStr">
        <is>
          <t>AC</t>
        </is>
      </c>
      <c r="E184" t="inlineStr">
        <is>
          <t>MENSAJE N° 59/26 QUE SOLICITA ACUERDO PARA DESIGNAR VOCAL DE LA CAMARA NACIONAL DE APELACIONES EN LO CIVIL DE LA CAPITAL FEDERAL, SALA E, A LA DRA. ANALIA VICTORIA ROMERO.</t>
        </is>
      </c>
      <c r="G184" t="inlineStr">
        <is>
          <t xml:space="preserve"> 4 09/04/2026 -</t>
        </is>
      </c>
      <c r="I184" t="inlineStr">
        <is>
          <t>16/06/2026</t>
        </is>
      </c>
      <c r="J184" t="inlineStr">
        <is>
          <t xml:space="preserve"> 30/03/2026 -</t>
        </is>
      </c>
      <c r="L184" t="inlineStr">
        <is>
          <t xml:space="preserve"> 13/05/2026 -</t>
        </is>
      </c>
      <c r="M184" t="inlineStr">
        <is>
          <t xml:space="preserve"> 30/03/2026 -</t>
        </is>
      </c>
      <c r="N184" t="n">
        <v>71</v>
      </c>
      <c r="O184" t="inlineStr">
        <is>
          <t>DE ACUERDOS</t>
        </is>
      </c>
      <c r="P184" t="inlineStr">
        <is>
          <t>30/03/2026</t>
        </is>
      </c>
      <c r="Q184" t="inlineStr">
        <is>
          <t>13/05/2026</t>
        </is>
      </c>
      <c r="R184">
        <f>HYPERLINK("https://www.senado.gob.ar/parlamentario/parlamentaria/ordenDelDiaResultadoLink/2026/52"," 52 2026 AP -")</f>
        <v/>
      </c>
      <c r="S184" t="inlineStr">
        <is>
          <t xml:space="preserve">AP  04/06/2026            </t>
        </is>
      </c>
      <c r="T184" t="inlineStr">
        <is>
          <t xml:space="preserve"> - </t>
        </is>
      </c>
      <c r="V184" t="inlineStr">
        <is>
          <t>16/06/2026</t>
        </is>
      </c>
    </row>
    <row r="185">
      <c r="A185" t="inlineStr">
        <is>
          <t>PE</t>
        </is>
      </c>
      <c r="B185">
        <f>HYPERLINK("https://www.senado.gob.ar/parlamentario/comisiones/verExp/47.26/PE/AC","47")</f>
        <v/>
      </c>
      <c r="C185">
        <f>HYPERLINK("https://www.senado.gob.ar/parlamentario/comisiones/verExp/47.26/PE/AC","2026")</f>
        <v/>
      </c>
      <c r="D185" t="inlineStr">
        <is>
          <t>AC</t>
        </is>
      </c>
      <c r="E185" t="inlineStr">
        <is>
          <t>MENSAJE N° 58/26 QUE SOLICITA ACUERDO PARA DESIGNAR VOCAL DE LA CAMARA NACIONAL DE APELACIONES EN LO CIVIL DE LA CAPITAL FEDERAL, SALA F,  AL DR. OSVALDO FELIPE PITRAU.</t>
        </is>
      </c>
      <c r="G185" t="inlineStr">
        <is>
          <t xml:space="preserve"> 4 09/04/2026 -</t>
        </is>
      </c>
      <c r="I185" t="inlineStr">
        <is>
          <t>16/06/2026</t>
        </is>
      </c>
      <c r="J185" t="inlineStr">
        <is>
          <t xml:space="preserve"> 30/03/2026 -</t>
        </is>
      </c>
      <c r="L185" t="inlineStr">
        <is>
          <t xml:space="preserve"> 13/05/2026 -</t>
        </is>
      </c>
      <c r="M185" t="inlineStr">
        <is>
          <t xml:space="preserve"> 30/03/2026 -</t>
        </is>
      </c>
      <c r="N185" t="n">
        <v>71</v>
      </c>
      <c r="O185" t="inlineStr">
        <is>
          <t>DE ACUERDOS</t>
        </is>
      </c>
      <c r="P185" t="inlineStr">
        <is>
          <t>30/03/2026</t>
        </is>
      </c>
      <c r="Q185" t="inlineStr">
        <is>
          <t>13/05/2026</t>
        </is>
      </c>
      <c r="R185">
        <f>HYPERLINK("https://www.senado.gob.ar/parlamentario/parlamentaria/ordenDelDiaResultadoLink/2026/51"," 51 2026 AP -")</f>
        <v/>
      </c>
      <c r="S185" t="inlineStr">
        <is>
          <t xml:space="preserve">AP  04/06/2026            </t>
        </is>
      </c>
      <c r="T185" t="inlineStr">
        <is>
          <t xml:space="preserve"> - </t>
        </is>
      </c>
      <c r="V185" t="inlineStr">
        <is>
          <t>16/06/2026</t>
        </is>
      </c>
    </row>
    <row r="186">
      <c r="A186" t="inlineStr">
        <is>
          <t>PE</t>
        </is>
      </c>
      <c r="B186">
        <f>HYPERLINK("https://www.senado.gob.ar/parlamentario/comisiones/verExp/46.26/PE/AC","46")</f>
        <v/>
      </c>
      <c r="C186">
        <f>HYPERLINK("https://www.senado.gob.ar/parlamentario/comisiones/verExp/46.26/PE/AC","2026")</f>
        <v/>
      </c>
      <c r="D186" t="inlineStr">
        <is>
          <t>AC</t>
        </is>
      </c>
      <c r="E186" t="inlineStr">
        <is>
          <t>MENSAJE N° 57/26 QUE SOLICITA ACUERDO PARA DESIGNAR VOCAL DE LA CAMARA NACIONAL DE APELACIONES EN LO CRIMINAL Y CORRECCIONAL DE LA CAPITAL FEDERAL, VOCALIA N° 20,  AL DR. SANTIAGO QUIAN ZAVALIA.</t>
        </is>
      </c>
      <c r="G186" t="inlineStr">
        <is>
          <t xml:space="preserve"> 4 09/04/2026 -</t>
        </is>
      </c>
      <c r="I186" t="inlineStr">
        <is>
          <t>16/06/2026</t>
        </is>
      </c>
      <c r="J186" t="inlineStr">
        <is>
          <t xml:space="preserve"> 30/03/2026 -</t>
        </is>
      </c>
      <c r="L186" t="inlineStr">
        <is>
          <t xml:space="preserve"> 13/05/2026 -</t>
        </is>
      </c>
      <c r="M186" t="inlineStr">
        <is>
          <t xml:space="preserve"> 30/03/2026 -</t>
        </is>
      </c>
      <c r="N186" t="n">
        <v>71</v>
      </c>
      <c r="O186" t="inlineStr">
        <is>
          <t>DE ACUERDOS</t>
        </is>
      </c>
      <c r="P186" t="inlineStr">
        <is>
          <t>30/03/2026</t>
        </is>
      </c>
      <c r="Q186" t="inlineStr">
        <is>
          <t>13/05/2026</t>
        </is>
      </c>
      <c r="R186">
        <f>HYPERLINK("https://www.senado.gob.ar/parlamentario/parlamentaria/ordenDelDiaResultadoLink/2026/50"," 50 2026 AP -")</f>
        <v/>
      </c>
      <c r="S186" t="inlineStr">
        <is>
          <t xml:space="preserve">AP  04/06/2026            </t>
        </is>
      </c>
      <c r="T186" t="inlineStr">
        <is>
          <t xml:space="preserve"> - </t>
        </is>
      </c>
      <c r="V186" t="inlineStr">
        <is>
          <t>16/06/2026</t>
        </is>
      </c>
    </row>
    <row r="187">
      <c r="A187" t="inlineStr">
        <is>
          <t>PE</t>
        </is>
      </c>
      <c r="B187">
        <f>HYPERLINK("https://www.senado.gob.ar/parlamentario/comisiones/verExp/45.26/PE/AC","45")</f>
        <v/>
      </c>
      <c r="C187">
        <f>HYPERLINK("https://www.senado.gob.ar/parlamentario/comisiones/verExp/45.26/PE/AC","2026")</f>
        <v/>
      </c>
      <c r="D187" t="inlineStr">
        <is>
          <t>AC</t>
        </is>
      </c>
      <c r="E187" t="inlineStr">
        <is>
          <t>MENSAJE N° 56/26 QUE SOLICITA ACUERDO PARA DESIGNAR JUEZ DEL TRIBUNAL FEDERAL DE JUICIO DE FORMOSA, PROVINCIA DE FORMOSA, AL DR. GERARDO DANIEL CACACE.</t>
        </is>
      </c>
      <c r="G187" t="inlineStr">
        <is>
          <t xml:space="preserve"> 4 09/04/2026 -</t>
        </is>
      </c>
      <c r="I187" t="inlineStr">
        <is>
          <t>16/06/2026</t>
        </is>
      </c>
      <c r="J187" t="inlineStr">
        <is>
          <t xml:space="preserve"> 30/03/2026 -</t>
        </is>
      </c>
      <c r="L187" t="inlineStr">
        <is>
          <t xml:space="preserve"> 15/05/2026 -</t>
        </is>
      </c>
      <c r="M187" t="inlineStr">
        <is>
          <t xml:space="preserve"> 30/03/2026 -</t>
        </is>
      </c>
      <c r="N187" t="n">
        <v>71</v>
      </c>
      <c r="O187" t="inlineStr">
        <is>
          <t>DE ACUERDOS</t>
        </is>
      </c>
      <c r="P187" t="inlineStr">
        <is>
          <t>30/03/2026</t>
        </is>
      </c>
      <c r="Q187" t="inlineStr">
        <is>
          <t>15/05/2026</t>
        </is>
      </c>
      <c r="R187">
        <f>HYPERLINK("https://www.senado.gob.ar/parlamentario/parlamentaria/ordenDelDiaResultadoLink/2026/89"," 89 2026 AP -")</f>
        <v/>
      </c>
      <c r="S187" t="inlineStr">
        <is>
          <t xml:space="preserve">AP  04/06/2026            </t>
        </is>
      </c>
      <c r="T187" t="inlineStr">
        <is>
          <t xml:space="preserve"> - </t>
        </is>
      </c>
      <c r="V187" t="inlineStr">
        <is>
          <t>16/06/2026</t>
        </is>
      </c>
    </row>
    <row r="188">
      <c r="A188" t="inlineStr">
        <is>
          <t>PE</t>
        </is>
      </c>
      <c r="B188">
        <f>HYPERLINK("https://www.senado.gob.ar/parlamentario/comisiones/verExp/44.26/PE/AC","44")</f>
        <v/>
      </c>
      <c r="C188">
        <f>HYPERLINK("https://www.senado.gob.ar/parlamentario/comisiones/verExp/44.26/PE/AC","2026")</f>
        <v/>
      </c>
      <c r="D188" t="inlineStr">
        <is>
          <t>AC</t>
        </is>
      </c>
      <c r="E188" t="inlineStr">
        <is>
          <t>MENSAJE N° 55/26 QUE SOLICITA ACUERDO PARA DESIGNAR JUEZ DEL JUZGADO NACIONAL DE PRIMERA INSTANCIA EN LO CIVIL N° 64 DE LA CAPITAL FEDERAL, AL DR. GERMAN AUGUSTO DEGANO.</t>
        </is>
      </c>
      <c r="G188" t="inlineStr">
        <is>
          <t xml:space="preserve"> 4 09/04/2026 -</t>
        </is>
      </c>
      <c r="I188" t="inlineStr">
        <is>
          <t>16/06/2026</t>
        </is>
      </c>
      <c r="J188" t="inlineStr">
        <is>
          <t xml:space="preserve"> 30/03/2026 -</t>
        </is>
      </c>
      <c r="L188" t="inlineStr">
        <is>
          <t xml:space="preserve"> 13/05/2026 -</t>
        </is>
      </c>
      <c r="M188" t="inlineStr">
        <is>
          <t xml:space="preserve"> 30/03/2026 -</t>
        </is>
      </c>
      <c r="N188" t="n">
        <v>71</v>
      </c>
      <c r="O188" t="inlineStr">
        <is>
          <t>DE ACUERDOS</t>
        </is>
      </c>
      <c r="P188" t="inlineStr">
        <is>
          <t>30/03/2026</t>
        </is>
      </c>
      <c r="Q188" t="inlineStr">
        <is>
          <t>13/05/2026</t>
        </is>
      </c>
      <c r="R188">
        <f>HYPERLINK("https://www.senado.gob.ar/parlamentario/parlamentaria/ordenDelDiaResultadoLink/2026/49"," 49 2026 AP -")</f>
        <v/>
      </c>
      <c r="S188" t="inlineStr">
        <is>
          <t xml:space="preserve">AP  04/06/2026            </t>
        </is>
      </c>
      <c r="T188" t="inlineStr">
        <is>
          <t xml:space="preserve"> - </t>
        </is>
      </c>
      <c r="V188" t="inlineStr">
        <is>
          <t>16/06/2026</t>
        </is>
      </c>
    </row>
    <row r="189">
      <c r="A189" t="inlineStr">
        <is>
          <t>PE</t>
        </is>
      </c>
      <c r="B189">
        <f>HYPERLINK("https://www.senado.gob.ar/parlamentario/comisiones/verExp/43.26/PE/AC","43")</f>
        <v/>
      </c>
      <c r="C189">
        <f>HYPERLINK("https://www.senado.gob.ar/parlamentario/comisiones/verExp/43.26/PE/AC","2026")</f>
        <v/>
      </c>
      <c r="D189" t="inlineStr">
        <is>
          <t>AC</t>
        </is>
      </c>
      <c r="E189" t="inlineStr">
        <is>
          <t>MENSAJE N° 54/26 QUE SOLICITA ACUERDO PARA DESIGNAR JUEZ DEL JUZGADO NACIONAL DE PRIMERA INSTANCIA EN LO CIVIL N° 80 DE LA CAPITAL FEDERAL, AL DR. EZEQUIEL JAVIER SOBRINO REIG.</t>
        </is>
      </c>
      <c r="G189" t="inlineStr">
        <is>
          <t xml:space="preserve"> 4 09/04/2026 -</t>
        </is>
      </c>
      <c r="I189" t="inlineStr">
        <is>
          <t>16/06/2026</t>
        </is>
      </c>
      <c r="J189" t="inlineStr">
        <is>
          <t xml:space="preserve"> 30/03/2026 -</t>
        </is>
      </c>
      <c r="L189" t="inlineStr">
        <is>
          <t xml:space="preserve"> 13/05/2026 -</t>
        </is>
      </c>
      <c r="M189" t="inlineStr">
        <is>
          <t xml:space="preserve"> 30/03/2026 -</t>
        </is>
      </c>
      <c r="N189" t="n">
        <v>71</v>
      </c>
      <c r="O189" t="inlineStr">
        <is>
          <t>DE ACUERDOS</t>
        </is>
      </c>
      <c r="P189" t="inlineStr">
        <is>
          <t>30/03/2026</t>
        </is>
      </c>
      <c r="Q189" t="inlineStr">
        <is>
          <t>13/05/2026</t>
        </is>
      </c>
      <c r="R189">
        <f>HYPERLINK("https://www.senado.gob.ar/parlamentario/parlamentaria/ordenDelDiaResultadoLink/2026/48"," 48 2026 AP -")</f>
        <v/>
      </c>
      <c r="S189" t="inlineStr">
        <is>
          <t xml:space="preserve">AP  04/06/2026            </t>
        </is>
      </c>
      <c r="T189" t="inlineStr">
        <is>
          <t xml:space="preserve"> - </t>
        </is>
      </c>
      <c r="V189" t="inlineStr">
        <is>
          <t>16/06/2026</t>
        </is>
      </c>
    </row>
    <row r="190">
      <c r="A190" t="inlineStr">
        <is>
          <t>PE</t>
        </is>
      </c>
      <c r="B190">
        <f>HYPERLINK("https://www.senado.gob.ar/parlamentario/comisiones/verExp/42.26/PE/AC","42")</f>
        <v/>
      </c>
      <c r="C190">
        <f>HYPERLINK("https://www.senado.gob.ar/parlamentario/comisiones/verExp/42.26/PE/AC","2026")</f>
        <v/>
      </c>
      <c r="D190" t="inlineStr">
        <is>
          <t>AC</t>
        </is>
      </c>
      <c r="E190" t="inlineStr">
        <is>
          <t>MENSAJE N° 53/26 QUE SOLICITA ACUERDO PARA DESIGNAR JUEZ DE CAMARA DEL TRIBUNAL ORAL EN LO CRIMINAL Y CORRECCIONAL N° 3 DE LA CAPITAL FEDERAL, AL DR. HUGO FABIAN DECARIA.</t>
        </is>
      </c>
      <c r="G190" t="inlineStr">
        <is>
          <t xml:space="preserve"> 4 09/04/2026 -</t>
        </is>
      </c>
      <c r="I190" t="inlineStr">
        <is>
          <t>16/06/2026</t>
        </is>
      </c>
      <c r="J190" t="inlineStr">
        <is>
          <t xml:space="preserve"> 30/03/2026 -</t>
        </is>
      </c>
      <c r="L190" t="inlineStr">
        <is>
          <t xml:space="preserve"> 13/05/2026 -</t>
        </is>
      </c>
      <c r="M190" t="inlineStr">
        <is>
          <t xml:space="preserve"> 30/03/2026 -</t>
        </is>
      </c>
      <c r="N190" t="n">
        <v>71</v>
      </c>
      <c r="O190" t="inlineStr">
        <is>
          <t>DE ACUERDOS</t>
        </is>
      </c>
      <c r="P190" t="inlineStr">
        <is>
          <t>30/03/2026</t>
        </is>
      </c>
      <c r="Q190" t="inlineStr">
        <is>
          <t>13/05/2026</t>
        </is>
      </c>
      <c r="R190">
        <f>HYPERLINK("https://www.senado.gob.ar/parlamentario/parlamentaria/ordenDelDiaResultadoLink/2026/47"," 47 2026 AP -")</f>
        <v/>
      </c>
      <c r="S190" t="inlineStr">
        <is>
          <t xml:space="preserve">AP  04/06/2026            </t>
        </is>
      </c>
      <c r="T190" t="inlineStr">
        <is>
          <t xml:space="preserve"> - </t>
        </is>
      </c>
      <c r="V190" t="inlineStr">
        <is>
          <t>16/06/2026</t>
        </is>
      </c>
    </row>
    <row r="191">
      <c r="A191" t="inlineStr">
        <is>
          <t>PE</t>
        </is>
      </c>
      <c r="B191">
        <f>HYPERLINK("https://www.senado.gob.ar/parlamentario/comisiones/verExp/41.26/PE/AC","41")</f>
        <v/>
      </c>
      <c r="C191">
        <f>HYPERLINK("https://www.senado.gob.ar/parlamentario/comisiones/verExp/41.26/PE/AC","2026")</f>
        <v/>
      </c>
      <c r="D191" t="inlineStr">
        <is>
          <t>AC</t>
        </is>
      </c>
      <c r="E191" t="inlineStr">
        <is>
          <t>MENSAJE N° 52/26 QUE SOLICITA ACUERDO PARA DESIGNAR DEFENSOR PUBLICO CURADOR DE LA DEFENSORIA GENERAL DE LA NACION, DEFENSORIA PUBLICA CURADURIA N° 4, AL DR. FELIPE ALBERTO ALLIAUD.</t>
        </is>
      </c>
      <c r="G191" t="inlineStr">
        <is>
          <t xml:space="preserve"> 4 09/04/2026 -</t>
        </is>
      </c>
      <c r="I191" t="inlineStr">
        <is>
          <t>16/06/2026</t>
        </is>
      </c>
      <c r="J191" t="inlineStr">
        <is>
          <t xml:space="preserve"> 30/03/2026 -</t>
        </is>
      </c>
      <c r="L191" t="inlineStr">
        <is>
          <t xml:space="preserve"> 13/05/2026 -</t>
        </is>
      </c>
      <c r="M191" t="inlineStr">
        <is>
          <t xml:space="preserve"> 30/03/2026 -</t>
        </is>
      </c>
      <c r="N191" t="n">
        <v>71</v>
      </c>
      <c r="O191" t="inlineStr">
        <is>
          <t>DE ACUERDOS</t>
        </is>
      </c>
      <c r="P191" t="inlineStr">
        <is>
          <t>30/03/2026</t>
        </is>
      </c>
      <c r="Q191" t="inlineStr">
        <is>
          <t>13/05/2026</t>
        </is>
      </c>
      <c r="R191">
        <f>HYPERLINK("https://www.senado.gob.ar/parlamentario/parlamentaria/ordenDelDiaResultadoLink/2026/46"," 46 2026 AP -")</f>
        <v/>
      </c>
      <c r="S191" t="inlineStr">
        <is>
          <t xml:space="preserve">AP  04/06/2026            </t>
        </is>
      </c>
      <c r="T191" t="inlineStr">
        <is>
          <t xml:space="preserve"> - </t>
        </is>
      </c>
      <c r="V191" t="inlineStr">
        <is>
          <t>16/06/2026</t>
        </is>
      </c>
    </row>
    <row r="192">
      <c r="A192" t="inlineStr">
        <is>
          <t>PE</t>
        </is>
      </c>
      <c r="B192">
        <f>HYPERLINK("https://www.senado.gob.ar/parlamentario/comisiones/verExp/40.26/PE/AC","40")</f>
        <v/>
      </c>
      <c r="C192">
        <f>HYPERLINK("https://www.senado.gob.ar/parlamentario/comisiones/verExp/40.26/PE/AC","2026")</f>
        <v/>
      </c>
      <c r="D192" t="inlineStr">
        <is>
          <t>AC</t>
        </is>
      </c>
      <c r="E192" t="inlineStr">
        <is>
          <t>MENSAJE N° 51/26 QUE SOLICITA ACUERDO PARA DESIGNAR DEFENSOR PUBLICO DE MENORES E INCAPACES ANTE LOS JUZGADOS NACIONALES DE PRIMERA INSTANCIA EN LO CIVIL, COMERCIAL Y DEL TRABAJO DE LA CAPITAL FEDERAL, DEFENSORIA N° 2, AL DR. LUCAS MARCELO BELLOTTI SAN MARTIN.</t>
        </is>
      </c>
      <c r="G192" t="inlineStr">
        <is>
          <t xml:space="preserve"> 4 09/04/2026 -</t>
        </is>
      </c>
      <c r="I192" t="inlineStr">
        <is>
          <t>16/06/2026</t>
        </is>
      </c>
      <c r="J192" t="inlineStr">
        <is>
          <t xml:space="preserve"> 30/03/2026 -</t>
        </is>
      </c>
      <c r="L192" t="inlineStr">
        <is>
          <t xml:space="preserve"> 13/05/2026 -</t>
        </is>
      </c>
      <c r="M192" t="inlineStr">
        <is>
          <t xml:space="preserve"> 30/03/2026 -</t>
        </is>
      </c>
      <c r="N192" t="n">
        <v>71</v>
      </c>
      <c r="O192" t="inlineStr">
        <is>
          <t>DE ACUERDOS</t>
        </is>
      </c>
      <c r="P192" t="inlineStr">
        <is>
          <t>30/03/2026</t>
        </is>
      </c>
      <c r="Q192" t="inlineStr">
        <is>
          <t>13/05/2026</t>
        </is>
      </c>
      <c r="R192">
        <f>HYPERLINK("https://www.senado.gob.ar/parlamentario/parlamentaria/ordenDelDiaResultadoLink/2026/45"," 45 2026 AP -")</f>
        <v/>
      </c>
      <c r="S192" t="inlineStr">
        <is>
          <t xml:space="preserve">AP  04/06/2026            </t>
        </is>
      </c>
      <c r="T192" t="inlineStr">
        <is>
          <t xml:space="preserve"> - </t>
        </is>
      </c>
      <c r="V192" t="inlineStr">
        <is>
          <t>16/06/2026</t>
        </is>
      </c>
    </row>
    <row r="193">
      <c r="A193" t="inlineStr">
        <is>
          <t>PE</t>
        </is>
      </c>
      <c r="B193">
        <f>HYPERLINK("https://www.senado.gob.ar/parlamentario/comisiones/verExp/39.26/PE/AC","39")</f>
        <v/>
      </c>
      <c r="C193">
        <f>HYPERLINK("https://www.senado.gob.ar/parlamentario/comisiones/verExp/39.26/PE/AC","2026")</f>
        <v/>
      </c>
      <c r="D193" t="inlineStr">
        <is>
          <t>AC</t>
        </is>
      </c>
      <c r="E193" t="inlineStr">
        <is>
          <t>MENSAJE N° 50/26 QUE SOLICITA ACUERDO PARA DESIGNAR DEFENSORA PUBLICA DE MENORES E INCAPACES ANTE LOS JUZGADOS NACIONALES DE PRIMERA INSTANCIA EN LO CIVIL, COMERCIAL Y DEL TRABAJO DE LA CAPITAL FEDERAL, DEFENSORIA N° 3, A LA DRA. MARCELA LORENA SASSO.</t>
        </is>
      </c>
      <c r="G193" t="inlineStr">
        <is>
          <t xml:space="preserve"> 4 09/04/2026 -</t>
        </is>
      </c>
      <c r="I193" t="inlineStr">
        <is>
          <t>16/06/2026</t>
        </is>
      </c>
      <c r="J193" t="inlineStr">
        <is>
          <t xml:space="preserve"> 30/03/2026 -</t>
        </is>
      </c>
      <c r="L193" t="inlineStr">
        <is>
          <t xml:space="preserve"> 13/05/2026 -</t>
        </is>
      </c>
      <c r="M193" t="inlineStr">
        <is>
          <t xml:space="preserve"> 30/03/2026 -</t>
        </is>
      </c>
      <c r="N193" t="n">
        <v>71</v>
      </c>
      <c r="O193" t="inlineStr">
        <is>
          <t>DE ACUERDOS</t>
        </is>
      </c>
      <c r="P193" t="inlineStr">
        <is>
          <t>30/03/2026</t>
        </is>
      </c>
      <c r="Q193" t="inlineStr">
        <is>
          <t>13/05/2026</t>
        </is>
      </c>
      <c r="R193">
        <f>HYPERLINK("https://www.senado.gob.ar/parlamentario/parlamentaria/ordenDelDiaResultadoLink/2026/44"," 44 2026 AP -")</f>
        <v/>
      </c>
      <c r="S193" t="inlineStr">
        <is>
          <t xml:space="preserve">AP  04/06/2026            </t>
        </is>
      </c>
      <c r="T193" t="inlineStr">
        <is>
          <t xml:space="preserve"> - </t>
        </is>
      </c>
      <c r="V193" t="inlineStr">
        <is>
          <t>16/06/2026</t>
        </is>
      </c>
    </row>
    <row r="194">
      <c r="A194" t="inlineStr">
        <is>
          <t>PE</t>
        </is>
      </c>
      <c r="B194">
        <f>HYPERLINK("https://www.senado.gob.ar/parlamentario/comisiones/verExp/38.26/PE/AC","38")</f>
        <v/>
      </c>
      <c r="C194">
        <f>HYPERLINK("https://www.senado.gob.ar/parlamentario/comisiones/verExp/38.26/PE/AC","2026")</f>
        <v/>
      </c>
      <c r="D194" t="inlineStr">
        <is>
          <t>AC</t>
        </is>
      </c>
      <c r="E194" t="inlineStr">
        <is>
          <t>MENSAJE N° 49/26 QUE SOLICITA ACUERDO PARA DESIGNAR DEFENSORA PUBLICA DE MENORES E INCAPACES ANTE LOS JUZGADOS NACIONALES DE PRIMERA INSTANCIA EN LO CIVIL, COMERCIAL Y DEL TRABAJO DE LA CAPITAL FEDERAL, DEFENSORIA N° 7, A LA DRA. VERONICA MABEL POLVERINI.</t>
        </is>
      </c>
      <c r="G194" t="inlineStr">
        <is>
          <t xml:space="preserve"> 4 09/04/2026 -</t>
        </is>
      </c>
      <c r="I194" t="inlineStr">
        <is>
          <t>16/06/2026</t>
        </is>
      </c>
      <c r="J194" t="inlineStr">
        <is>
          <t xml:space="preserve"> 30/03/2026 -</t>
        </is>
      </c>
      <c r="L194" t="inlineStr">
        <is>
          <t xml:space="preserve"> 13/05/2026 -</t>
        </is>
      </c>
      <c r="M194" t="inlineStr">
        <is>
          <t xml:space="preserve"> 30/03/2026 -</t>
        </is>
      </c>
      <c r="N194" t="n">
        <v>71</v>
      </c>
      <c r="O194" t="inlineStr">
        <is>
          <t>DE ACUERDOS</t>
        </is>
      </c>
      <c r="P194" t="inlineStr">
        <is>
          <t>30/03/2026</t>
        </is>
      </c>
      <c r="Q194" t="inlineStr">
        <is>
          <t>13/05/2026</t>
        </is>
      </c>
      <c r="R194">
        <f>HYPERLINK("https://www.senado.gob.ar/parlamentario/parlamentaria/ordenDelDiaResultadoLink/2026/43"," 43 2026 AP -")</f>
        <v/>
      </c>
      <c r="S194" t="inlineStr">
        <is>
          <t xml:space="preserve">AP  04/06/2026            </t>
        </is>
      </c>
      <c r="T194" t="inlineStr">
        <is>
          <t xml:space="preserve"> - </t>
        </is>
      </c>
      <c r="V194" t="inlineStr">
        <is>
          <t>16/06/2026</t>
        </is>
      </c>
    </row>
    <row r="195">
      <c r="A195" t="inlineStr">
        <is>
          <t>PE</t>
        </is>
      </c>
      <c r="B195">
        <f>HYPERLINK("https://www.senado.gob.ar/parlamentario/comisiones/verExp/37.26/PE/AC","37")</f>
        <v/>
      </c>
      <c r="C195">
        <f>HYPERLINK("https://www.senado.gob.ar/parlamentario/comisiones/verExp/37.26/PE/AC","2026")</f>
        <v/>
      </c>
      <c r="D195" t="inlineStr">
        <is>
          <t>AC</t>
        </is>
      </c>
      <c r="E195" t="inlineStr">
        <is>
          <t>MENSAJE N° 48/26 QUE SOLICITA ACUERDO PARA DESIGNAR VOCAL DE LA CAMARA NACIONAL DE APELACIONES EN LO PENAL ECONOMICO, SALA A, AL DR. JUAN PEDRO GALVAN GREENWAY.</t>
        </is>
      </c>
      <c r="G195" t="inlineStr">
        <is>
          <t xml:space="preserve"> 4 09/04/2026 -</t>
        </is>
      </c>
      <c r="J195" t="inlineStr">
        <is>
          <t xml:space="preserve"> 30/03/2026 -</t>
        </is>
      </c>
      <c r="L195" t="inlineStr">
        <is>
          <t xml:space="preserve"> 27/08/2026 -</t>
        </is>
      </c>
      <c r="M195" t="inlineStr">
        <is>
          <t xml:space="preserve"> 30/03/2026 -</t>
        </is>
      </c>
      <c r="N195" t="n">
        <v>71</v>
      </c>
      <c r="O195" t="inlineStr">
        <is>
          <t>DE ACUERDOS</t>
        </is>
      </c>
      <c r="P195" t="inlineStr">
        <is>
          <t>30/03/2026</t>
        </is>
      </c>
      <c r="Q195" t="inlineStr">
        <is>
          <t>27/08/2026</t>
        </is>
      </c>
      <c r="R195">
        <f>HYPERLINK("https://www.senado.gob.ar/parlamentario/parlamentaria/ordenDelDiaResultadoLink/2026/354"," 354 2026 PE -")</f>
        <v/>
      </c>
      <c r="S195" t="inlineStr">
        <is>
          <t xml:space="preserve">              </t>
        </is>
      </c>
      <c r="T195" t="inlineStr">
        <is>
          <t xml:space="preserve"> - </t>
        </is>
      </c>
    </row>
    <row r="196">
      <c r="A196" t="inlineStr">
        <is>
          <t>PE</t>
        </is>
      </c>
      <c r="B196">
        <f>HYPERLINK("https://www.senado.gob.ar/parlamentario/comisiones/verExp/36.26/PE/AC","36")</f>
        <v/>
      </c>
      <c r="C196">
        <f>HYPERLINK("https://www.senado.gob.ar/parlamentario/comisiones/verExp/36.26/PE/AC","2026")</f>
        <v/>
      </c>
      <c r="D196" t="inlineStr">
        <is>
          <t>AC</t>
        </is>
      </c>
      <c r="E196" t="inlineStr">
        <is>
          <t>MENSAJE N° 47/26 QUE SOLICITA ACUERDO PARA DESIGNAR JUEZ DE CAMARA DEL TRIBUNAL ORAL EN LO CRIMINAL FEDERAL N° 2 DE LA PLATA, PROVINCIA DE BUENOS AIRES, AL DR. PABLO EZEQUIEL WILK.</t>
        </is>
      </c>
      <c r="G196" t="inlineStr">
        <is>
          <t xml:space="preserve"> 4 09/04/2026 -</t>
        </is>
      </c>
      <c r="I196" t="inlineStr">
        <is>
          <t>16/06/2026</t>
        </is>
      </c>
      <c r="J196" t="inlineStr">
        <is>
          <t xml:space="preserve"> 30/03/2026 -</t>
        </is>
      </c>
      <c r="L196" t="inlineStr">
        <is>
          <t xml:space="preserve"> 14/05/2026 -</t>
        </is>
      </c>
      <c r="M196" t="inlineStr">
        <is>
          <t xml:space="preserve"> 30/03/2026 -</t>
        </is>
      </c>
      <c r="N196" t="n">
        <v>71</v>
      </c>
      <c r="O196" t="inlineStr">
        <is>
          <t>DE ACUERDOS</t>
        </is>
      </c>
      <c r="P196" t="inlineStr">
        <is>
          <t>30/03/2026</t>
        </is>
      </c>
      <c r="Q196" t="inlineStr">
        <is>
          <t>14/05/2026</t>
        </is>
      </c>
      <c r="R196">
        <f>HYPERLINK("https://www.senado.gob.ar/parlamentario/parlamentaria/ordenDelDiaResultadoLink/2026/63"," 63 2026 AP -")</f>
        <v/>
      </c>
      <c r="S196" t="inlineStr">
        <is>
          <t xml:space="preserve">AP  04/06/2026            </t>
        </is>
      </c>
      <c r="T196" t="inlineStr">
        <is>
          <t xml:space="preserve"> - </t>
        </is>
      </c>
      <c r="V196" t="inlineStr">
        <is>
          <t>16/06/2026</t>
        </is>
      </c>
    </row>
    <row r="197">
      <c r="A197" t="inlineStr">
        <is>
          <t>PE</t>
        </is>
      </c>
      <c r="B197">
        <f>HYPERLINK("https://www.senado.gob.ar/parlamentario/comisiones/verExp/35.26/PE/AC","35")</f>
        <v/>
      </c>
      <c r="C197">
        <f>HYPERLINK("https://www.senado.gob.ar/parlamentario/comisiones/verExp/35.26/PE/AC","2026")</f>
        <v/>
      </c>
      <c r="D197" t="inlineStr">
        <is>
          <t>AC</t>
        </is>
      </c>
      <c r="E197" t="inlineStr">
        <is>
          <t>MENSAJE N° 46/26 QUE SOLICITA ACUERDO PARA DESIGNAR VOCAL DE LA CAMARA NACIONAL DE APELACIONES EN LO PENAL ECONOMICO, SALA B,  AL DR. ALEJANDRO JAVIER CATANIA.</t>
        </is>
      </c>
      <c r="G197" t="inlineStr">
        <is>
          <t xml:space="preserve"> 4 09/04/2026 -</t>
        </is>
      </c>
      <c r="J197" t="inlineStr">
        <is>
          <t xml:space="preserve"> 30/03/2026 -</t>
        </is>
      </c>
      <c r="L197" t="inlineStr">
        <is>
          <t xml:space="preserve"> 27/08/2026 -</t>
        </is>
      </c>
      <c r="M197" t="inlineStr">
        <is>
          <t xml:space="preserve"> 30/03/2026 -</t>
        </is>
      </c>
      <c r="N197" t="n">
        <v>71</v>
      </c>
      <c r="O197" t="inlineStr">
        <is>
          <t>DE ACUERDOS</t>
        </is>
      </c>
      <c r="P197" t="inlineStr">
        <is>
          <t>30/03/2026</t>
        </is>
      </c>
      <c r="Q197" t="inlineStr">
        <is>
          <t>27/08/2026</t>
        </is>
      </c>
      <c r="R197">
        <f>HYPERLINK("https://www.senado.gob.ar/parlamentario/parlamentaria/ordenDelDiaResultadoLink/2026/353"," 353 2026 PE -")</f>
        <v/>
      </c>
      <c r="S197" t="inlineStr">
        <is>
          <t xml:space="preserve">              </t>
        </is>
      </c>
      <c r="T197" t="inlineStr">
        <is>
          <t xml:space="preserve"> - </t>
        </is>
      </c>
    </row>
    <row r="198">
      <c r="A198" t="inlineStr">
        <is>
          <t>PE</t>
        </is>
      </c>
      <c r="B198">
        <f>HYPERLINK("https://www.senado.gob.ar/parlamentario/comisiones/verExp/34.26/PE/AC","34")</f>
        <v/>
      </c>
      <c r="C198">
        <f>HYPERLINK("https://www.senado.gob.ar/parlamentario/comisiones/verExp/34.26/PE/AC","2026")</f>
        <v/>
      </c>
      <c r="D198" t="inlineStr">
        <is>
          <t>AC</t>
        </is>
      </c>
      <c r="E198" t="inlineStr">
        <is>
          <t xml:space="preserve">MENSAJE N° 45/26 QUE SOLICITA ACUERDO PARA DESIGNAR CONJUECES DE LOS JUZGADOS NACIONALES DE PRIMERA INSTANCIA EN LO CIVIL CON COMPETENCIA EXCLUSIVA EN ASUNTOS DE FAMILIA Y CAPACIDAD DE LAS PERSONAS DE LA JURISDICCION DE LA CAMARA NACIONAL DE APELACIONES EN LO CIVIL DE LA CAPITAL FEDERAL.
</t>
        </is>
      </c>
      <c r="G198" t="inlineStr">
        <is>
          <t xml:space="preserve"> 4 09/04/2026 -</t>
        </is>
      </c>
      <c r="J198" t="inlineStr">
        <is>
          <t xml:space="preserve"> 30/03/2026 -</t>
        </is>
      </c>
      <c r="L198" t="inlineStr">
        <is>
          <t xml:space="preserve"> 15/05/2026 -  -</t>
        </is>
      </c>
      <c r="M198" t="inlineStr">
        <is>
          <t xml:space="preserve"> 30/03/2026 - 16/06/2026 -</t>
        </is>
      </c>
      <c r="N198" t="n">
        <v>71</v>
      </c>
      <c r="O198" t="inlineStr">
        <is>
          <t>DE ACUERDOS</t>
        </is>
      </c>
      <c r="P198" t="inlineStr">
        <is>
          <t>30/03/2026</t>
        </is>
      </c>
      <c r="Q198" t="inlineStr">
        <is>
          <t>15/05/2026</t>
        </is>
      </c>
      <c r="R198">
        <f>HYPERLINK("https://www.senado.gob.ar/parlamentario/parlamentaria/ordenDelDiaResultadoLink/2026/88"," 88 2026 AP -")</f>
        <v/>
      </c>
      <c r="S198" t="inlineStr">
        <is>
          <t xml:space="preserve">AP  04/06/2026            </t>
        </is>
      </c>
      <c r="T198" t="inlineStr">
        <is>
          <t xml:space="preserve"> - </t>
        </is>
      </c>
    </row>
    <row r="199">
      <c r="A199" t="inlineStr">
        <is>
          <t>PE</t>
        </is>
      </c>
      <c r="B199">
        <f>HYPERLINK("https://www.senado.gob.ar/parlamentario/comisiones/verExp/33.26/PE/AC","33")</f>
        <v/>
      </c>
      <c r="C199">
        <f>HYPERLINK("https://www.senado.gob.ar/parlamentario/comisiones/verExp/33.26/PE/AC","2026")</f>
        <v/>
      </c>
      <c r="D199" t="inlineStr">
        <is>
          <t>AC</t>
        </is>
      </c>
      <c r="E199" t="inlineStr">
        <is>
          <t>MENSAJE N° 44/26 QUE SOLICITA ACUERDO PARA DESIGNAR JUEZA DE CAMARA DEL TRIBUNAL ORAL EN LO CRIMINAL FEDERAL N° 3 DE LA PLATA, PROVINCIA DE BUENOS AIRES, A LA DRA. MARIA JULIA SOSA.</t>
        </is>
      </c>
      <c r="G199" t="inlineStr">
        <is>
          <t xml:space="preserve"> 4 09/04/2026 -</t>
        </is>
      </c>
      <c r="I199" t="inlineStr">
        <is>
          <t>16/06/2026</t>
        </is>
      </c>
      <c r="J199" t="inlineStr">
        <is>
          <t xml:space="preserve"> 30/03/2026 -</t>
        </is>
      </c>
      <c r="L199" t="inlineStr">
        <is>
          <t xml:space="preserve"> 13/05/2026 -</t>
        </is>
      </c>
      <c r="M199" t="inlineStr">
        <is>
          <t xml:space="preserve"> 30/03/2026 -</t>
        </is>
      </c>
      <c r="N199" t="n">
        <v>71</v>
      </c>
      <c r="O199" t="inlineStr">
        <is>
          <t>DE ACUERDOS</t>
        </is>
      </c>
      <c r="P199" t="inlineStr">
        <is>
          <t>30/03/2026</t>
        </is>
      </c>
      <c r="Q199" t="inlineStr">
        <is>
          <t>13/05/2026</t>
        </is>
      </c>
      <c r="R199">
        <f>HYPERLINK("https://www.senado.gob.ar/parlamentario/parlamentaria/ordenDelDiaResultadoLink/2026/42"," 42 2026 AP -")</f>
        <v/>
      </c>
      <c r="S199" t="inlineStr">
        <is>
          <t xml:space="preserve">AP  04/06/2026            </t>
        </is>
      </c>
      <c r="T199" t="inlineStr">
        <is>
          <t xml:space="preserve"> - </t>
        </is>
      </c>
      <c r="V199" t="inlineStr">
        <is>
          <t>16/06/2026</t>
        </is>
      </c>
    </row>
    <row r="200">
      <c r="A200" t="inlineStr">
        <is>
          <t>PE</t>
        </is>
      </c>
      <c r="B200">
        <f>HYPERLINK("https://www.senado.gob.ar/parlamentario/comisiones/verExp/32.26/PE/AC","32")</f>
        <v/>
      </c>
      <c r="C200">
        <f>HYPERLINK("https://www.senado.gob.ar/parlamentario/comisiones/verExp/32.26/PE/AC","2026")</f>
        <v/>
      </c>
      <c r="D200" t="inlineStr">
        <is>
          <t>AC</t>
        </is>
      </c>
      <c r="E200" t="inlineStr">
        <is>
          <t>MENSAJE N° 43/26 QUE SOLICITA ACUERDO PARA DESIGNAR JUEZ DEL JUZGADO NACIONAL DE PRIMERA INSTANCIA EN LO CIVIL N° 95 DE LA CAPITAL FEDERAL, AL DR. JUAN MARTIN BALCAZAR.</t>
        </is>
      </c>
      <c r="G200" t="inlineStr">
        <is>
          <t xml:space="preserve"> 4 09/04/2026 -</t>
        </is>
      </c>
      <c r="I200" t="inlineStr">
        <is>
          <t>16/06/2026</t>
        </is>
      </c>
      <c r="J200" t="inlineStr">
        <is>
          <t xml:space="preserve"> 30/03/2026 -</t>
        </is>
      </c>
      <c r="L200" t="inlineStr">
        <is>
          <t xml:space="preserve"> 13/05/2026 -</t>
        </is>
      </c>
      <c r="M200" t="inlineStr">
        <is>
          <t xml:space="preserve"> 30/03/2026 -</t>
        </is>
      </c>
      <c r="N200" t="n">
        <v>71</v>
      </c>
      <c r="O200" t="inlineStr">
        <is>
          <t>DE ACUERDOS</t>
        </is>
      </c>
      <c r="P200" t="inlineStr">
        <is>
          <t>30/03/2026</t>
        </is>
      </c>
      <c r="Q200" t="inlineStr">
        <is>
          <t>13/05/2026</t>
        </is>
      </c>
      <c r="R200">
        <f>HYPERLINK("https://www.senado.gob.ar/parlamentario/parlamentaria/ordenDelDiaResultadoLink/2026/41"," 41 2026 AP -")</f>
        <v/>
      </c>
      <c r="S200" t="inlineStr">
        <is>
          <t xml:space="preserve">AP  04/06/2026            </t>
        </is>
      </c>
      <c r="T200" t="inlineStr">
        <is>
          <t xml:space="preserve"> - </t>
        </is>
      </c>
      <c r="V200" t="inlineStr">
        <is>
          <t>16/06/2026</t>
        </is>
      </c>
    </row>
    <row r="201">
      <c r="A201" t="inlineStr">
        <is>
          <t>PE</t>
        </is>
      </c>
      <c r="B201">
        <f>HYPERLINK("https://www.senado.gob.ar/parlamentario/comisiones/verExp/31.26/PE/AC","31")</f>
        <v/>
      </c>
      <c r="C201">
        <f>HYPERLINK("https://www.senado.gob.ar/parlamentario/comisiones/verExp/31.26/PE/AC","2026")</f>
        <v/>
      </c>
      <c r="D201" t="inlineStr">
        <is>
          <t>AC</t>
        </is>
      </c>
      <c r="E201" t="inlineStr">
        <is>
          <t>MENSAJE N° 42/26 QUE SOLICITA ACUERDO PARA DESIGNAR JUEZA DE CAMARA DEL TRIBUNAL ORAL EN LO CRIMINAL FEDERAL N° 3 DE LA PLATA, PROVINCIA DE BUENOS AIRES, A LA DRA. MARIA VERONICA MICHELLI.</t>
        </is>
      </c>
      <c r="G201" t="inlineStr">
        <is>
          <t xml:space="preserve"> 4 09/04/2026 -</t>
        </is>
      </c>
      <c r="I201" t="inlineStr">
        <is>
          <t>16/06/2026</t>
        </is>
      </c>
      <c r="J201" t="inlineStr">
        <is>
          <t xml:space="preserve"> 30/03/2026 -</t>
        </is>
      </c>
      <c r="L201" t="inlineStr">
        <is>
          <t xml:space="preserve"> 03/06/2026 -</t>
        </is>
      </c>
      <c r="M201" t="inlineStr">
        <is>
          <t xml:space="preserve"> 30/03/2026 -</t>
        </is>
      </c>
      <c r="N201" t="n">
        <v>71</v>
      </c>
      <c r="O201" t="inlineStr">
        <is>
          <t>DE ACUERDOS</t>
        </is>
      </c>
      <c r="P201" t="inlineStr">
        <is>
          <t>30/03/2026</t>
        </is>
      </c>
      <c r="Q201" t="inlineStr">
        <is>
          <t>03/06/2026</t>
        </is>
      </c>
      <c r="R201">
        <f>HYPERLINK("https://www.senado.gob.ar/parlamentario/parlamentaria/ordenDelDiaResultadoLink/2026/112"," 112 2026 AP -")</f>
        <v/>
      </c>
      <c r="S201" t="inlineStr">
        <is>
          <t xml:space="preserve">AP  04/06/2026            </t>
        </is>
      </c>
      <c r="T201" t="inlineStr">
        <is>
          <t xml:space="preserve"> - </t>
        </is>
      </c>
      <c r="V201" t="inlineStr">
        <is>
          <t>16/06/2026</t>
        </is>
      </c>
    </row>
    <row r="202">
      <c r="A202" t="inlineStr">
        <is>
          <t>PE</t>
        </is>
      </c>
      <c r="B202">
        <f>HYPERLINK("https://www.senado.gob.ar/parlamentario/comisiones/verExp/30.26/PE/AC","30")</f>
        <v/>
      </c>
      <c r="C202">
        <f>HYPERLINK("https://www.senado.gob.ar/parlamentario/comisiones/verExp/30.26/PE/AC","2026")</f>
        <v/>
      </c>
      <c r="D202" t="inlineStr">
        <is>
          <t>AC</t>
        </is>
      </c>
      <c r="E202" t="inlineStr">
        <is>
          <t>MENSAJE N° 41/26 QUE SOLICITA ACUERDO PARA DESIGNAR JUEZ DE CAMARA DEL TRIBUNAL ORAL EN LO CRIMINAL FEDERAL N° 3 DE LA PLATA, PROVINCIA DE BUENOS AIRES, AL DR. CARLOS FABIAN CUESTA.</t>
        </is>
      </c>
      <c r="G202" t="inlineStr">
        <is>
          <t xml:space="preserve"> 4 09/04/2026 -</t>
        </is>
      </c>
      <c r="I202" t="inlineStr">
        <is>
          <t>16/06/2026</t>
        </is>
      </c>
      <c r="J202" t="inlineStr">
        <is>
          <t xml:space="preserve"> 30/03/2026 -</t>
        </is>
      </c>
      <c r="L202" t="inlineStr">
        <is>
          <t xml:space="preserve"> 14/05/2026 -</t>
        </is>
      </c>
      <c r="M202" t="inlineStr">
        <is>
          <t xml:space="preserve"> 30/03/2026 -</t>
        </is>
      </c>
      <c r="N202" t="n">
        <v>71</v>
      </c>
      <c r="O202" t="inlineStr">
        <is>
          <t>DE ACUERDOS</t>
        </is>
      </c>
      <c r="P202" t="inlineStr">
        <is>
          <t>30/03/2026</t>
        </is>
      </c>
      <c r="Q202" t="inlineStr">
        <is>
          <t>14/05/2026</t>
        </is>
      </c>
      <c r="R202">
        <f>HYPERLINK("https://www.senado.gob.ar/parlamentario/parlamentaria/ordenDelDiaResultadoLink/2026/62"," 62 2026 AP -")</f>
        <v/>
      </c>
      <c r="S202" t="inlineStr">
        <is>
          <t xml:space="preserve">AP  04/06/2026            </t>
        </is>
      </c>
      <c r="T202" t="inlineStr">
        <is>
          <t xml:space="preserve"> - </t>
        </is>
      </c>
      <c r="V202" t="inlineStr">
        <is>
          <t>16/06/2026</t>
        </is>
      </c>
    </row>
    <row r="203">
      <c r="A203" t="inlineStr">
        <is>
          <t>PE</t>
        </is>
      </c>
      <c r="B203">
        <f>HYPERLINK("https://www.senado.gob.ar/parlamentario/comisiones/verExp/29.26/PE/AC","29")</f>
        <v/>
      </c>
      <c r="C203">
        <f>HYPERLINK("https://www.senado.gob.ar/parlamentario/comisiones/verExp/29.26/PE/AC","2026")</f>
        <v/>
      </c>
      <c r="D203" t="inlineStr">
        <is>
          <t>AC</t>
        </is>
      </c>
      <c r="E203" t="inlineStr">
        <is>
          <t>MENSAJE N° 40/26 QUE SOLICITA ACUERDO PARA DESIGNAR JUEZA DEL JUZGADO NACIONAL EN LO CRIMINAL Y CORRECCIONAL N° 18 DE LA CAPITAL FEDERAL, A LA DRA. SOLEDAD EUGENIA MARIÑO.</t>
        </is>
      </c>
      <c r="G203" t="inlineStr">
        <is>
          <t xml:space="preserve"> 4 09/04/2026 -</t>
        </is>
      </c>
      <c r="I203" t="inlineStr">
        <is>
          <t>16/06/2026</t>
        </is>
      </c>
      <c r="J203" t="inlineStr">
        <is>
          <t xml:space="preserve"> 30/03/2026 -</t>
        </is>
      </c>
      <c r="L203" t="inlineStr">
        <is>
          <t xml:space="preserve"> 13/05/2026 -</t>
        </is>
      </c>
      <c r="M203" t="inlineStr">
        <is>
          <t xml:space="preserve"> 30/03/2026 -</t>
        </is>
      </c>
      <c r="N203" t="n">
        <v>71</v>
      </c>
      <c r="O203" t="inlineStr">
        <is>
          <t>DE ACUERDOS</t>
        </is>
      </c>
      <c r="P203" t="inlineStr">
        <is>
          <t>30/03/2026</t>
        </is>
      </c>
      <c r="Q203" t="inlineStr">
        <is>
          <t>13/05/2026</t>
        </is>
      </c>
      <c r="R203">
        <f>HYPERLINK("https://www.senado.gob.ar/parlamentario/parlamentaria/ordenDelDiaResultadoLink/2026/40"," 40 2026 AP -")</f>
        <v/>
      </c>
      <c r="S203" t="inlineStr">
        <is>
          <t xml:space="preserve">AP  04/06/2026            </t>
        </is>
      </c>
      <c r="T203" t="inlineStr">
        <is>
          <t xml:space="preserve"> - </t>
        </is>
      </c>
      <c r="V203" t="inlineStr">
        <is>
          <t>16/06/2026</t>
        </is>
      </c>
    </row>
    <row r="204">
      <c r="A204" t="inlineStr">
        <is>
          <t>PE</t>
        </is>
      </c>
      <c r="B204">
        <f>HYPERLINK("https://www.senado.gob.ar/parlamentario/comisiones/verExp/28.26/PE/AC","28")</f>
        <v/>
      </c>
      <c r="C204">
        <f>HYPERLINK("https://www.senado.gob.ar/parlamentario/comisiones/verExp/28.26/PE/AC","2026")</f>
        <v/>
      </c>
      <c r="D204" t="inlineStr">
        <is>
          <t>AC</t>
        </is>
      </c>
      <c r="E204" t="inlineStr">
        <is>
          <t>MENSAJE N° 39/26 QUE SOLICITA ACUERDO PARA DESIGNAR JUEZA DEL JUZGADO NACIONAL EN LO CRIMINAL Y CORRECCIONAL N° 14 DE LA CAPITAL FEDERAL, A LA DRA. PAULA FUERTES.</t>
        </is>
      </c>
      <c r="G204" t="inlineStr">
        <is>
          <t xml:space="preserve"> 4 09/04/2026 -</t>
        </is>
      </c>
      <c r="I204" t="inlineStr">
        <is>
          <t>16/06/2026</t>
        </is>
      </c>
      <c r="J204" t="inlineStr">
        <is>
          <t xml:space="preserve"> 30/03/2026 -</t>
        </is>
      </c>
      <c r="L204" t="inlineStr">
        <is>
          <t xml:space="preserve"> 13/05/2026 -</t>
        </is>
      </c>
      <c r="M204" t="inlineStr">
        <is>
          <t xml:space="preserve"> 30/03/2026 -</t>
        </is>
      </c>
      <c r="N204" t="n">
        <v>71</v>
      </c>
      <c r="O204" t="inlineStr">
        <is>
          <t>DE ACUERDOS</t>
        </is>
      </c>
      <c r="P204" t="inlineStr">
        <is>
          <t>30/03/2026</t>
        </is>
      </c>
      <c r="Q204" t="inlineStr">
        <is>
          <t>13/05/2026</t>
        </is>
      </c>
      <c r="R204">
        <f>HYPERLINK("https://www.senado.gob.ar/parlamentario/parlamentaria/ordenDelDiaResultadoLink/2026/39"," 39 2026 AP -")</f>
        <v/>
      </c>
      <c r="S204" t="inlineStr">
        <is>
          <t xml:space="preserve">AP  04/06/2026            </t>
        </is>
      </c>
      <c r="T204" t="inlineStr">
        <is>
          <t xml:space="preserve"> - </t>
        </is>
      </c>
      <c r="V204" t="inlineStr">
        <is>
          <t>16/06/2026</t>
        </is>
      </c>
    </row>
    <row r="205">
      <c r="A205" t="inlineStr">
        <is>
          <t>PE</t>
        </is>
      </c>
      <c r="B205">
        <f>HYPERLINK("https://www.senado.gob.ar/parlamentario/comisiones/verExp/27.26/PE/AC","27")</f>
        <v/>
      </c>
      <c r="C205">
        <f>HYPERLINK("https://www.senado.gob.ar/parlamentario/comisiones/verExp/27.26/PE/AC","2026")</f>
        <v/>
      </c>
      <c r="D205" t="inlineStr">
        <is>
          <t>AC</t>
        </is>
      </c>
      <c r="E205" t="inlineStr">
        <is>
          <t xml:space="preserve">MENSAJE N° 38/26 QUE SOLICITA ACUERDO PARA DESIGNAR JUEZ DE CAMARA DEL TRIBUNAL ORAL EN LO CRIMINAL FEDERAL N° 1 DE LA PLATA, PROVINCIA DE BUENOS AIRES, AL DR. CLAUDIO RICARDO SILVESTRI.
</t>
        </is>
      </c>
      <c r="G205" t="inlineStr">
        <is>
          <t xml:space="preserve"> 4 09/04/2026 -</t>
        </is>
      </c>
      <c r="I205" t="inlineStr">
        <is>
          <t>16/06/2026</t>
        </is>
      </c>
      <c r="J205" t="inlineStr">
        <is>
          <t xml:space="preserve"> 30/03/2026 -</t>
        </is>
      </c>
      <c r="L205" t="inlineStr">
        <is>
          <t xml:space="preserve"> 14/05/2026 -</t>
        </is>
      </c>
      <c r="M205" t="inlineStr">
        <is>
          <t xml:space="preserve"> 30/03/2026 -</t>
        </is>
      </c>
      <c r="N205" t="n">
        <v>71</v>
      </c>
      <c r="O205" t="inlineStr">
        <is>
          <t>DE ACUERDOS</t>
        </is>
      </c>
      <c r="P205" t="inlineStr">
        <is>
          <t>30/03/2026</t>
        </is>
      </c>
      <c r="Q205" t="inlineStr">
        <is>
          <t>14/05/2026</t>
        </is>
      </c>
      <c r="R205">
        <f>HYPERLINK("https://www.senado.gob.ar/parlamentario/parlamentaria/ordenDelDiaResultadoLink/2026/61"," 61 2026 AP -")</f>
        <v/>
      </c>
      <c r="S205" t="inlineStr">
        <is>
          <t xml:space="preserve">AP  04/06/2026            </t>
        </is>
      </c>
      <c r="T205" t="inlineStr">
        <is>
          <t xml:space="preserve"> - </t>
        </is>
      </c>
      <c r="V205" t="inlineStr">
        <is>
          <t>16/06/2026</t>
        </is>
      </c>
    </row>
    <row r="206">
      <c r="A206" t="inlineStr">
        <is>
          <t>PE</t>
        </is>
      </c>
      <c r="B206">
        <f>HYPERLINK("https://www.senado.gob.ar/parlamentario/comisiones/verExp/26.26/PE/AC","26")</f>
        <v/>
      </c>
      <c r="C206">
        <f>HYPERLINK("https://www.senado.gob.ar/parlamentario/comisiones/verExp/26.26/PE/AC","2026")</f>
        <v/>
      </c>
      <c r="D206" t="inlineStr">
        <is>
          <t>AC</t>
        </is>
      </c>
      <c r="E206" t="inlineStr">
        <is>
          <t>MENSAJE N° 37/26 QUE SOLICITA ACUERDO PARA DESIGNAR DEFENSORA PUBLICA OFICIAL ANTE LOS JUZGADOS Y ANTE LA CAMARA NACIONAL DE APELACIONES EN LO PENAL ECONOMICO, DEFENSORIA N° 1, A LA DRA. MARIA INES RESTON.</t>
        </is>
      </c>
      <c r="G206" t="inlineStr">
        <is>
          <t xml:space="preserve"> 4 09/04/2026 -</t>
        </is>
      </c>
      <c r="I206" t="inlineStr">
        <is>
          <t>16/06/2026</t>
        </is>
      </c>
      <c r="J206" t="inlineStr">
        <is>
          <t xml:space="preserve"> 30/03/2026 -</t>
        </is>
      </c>
      <c r="L206" t="inlineStr">
        <is>
          <t xml:space="preserve"> 13/05/2026 -</t>
        </is>
      </c>
      <c r="M206" t="inlineStr">
        <is>
          <t xml:space="preserve"> 30/03/2026 -</t>
        </is>
      </c>
      <c r="N206" t="n">
        <v>71</v>
      </c>
      <c r="O206" t="inlineStr">
        <is>
          <t>DE ACUERDOS</t>
        </is>
      </c>
      <c r="P206" t="inlineStr">
        <is>
          <t>30/03/2026</t>
        </is>
      </c>
      <c r="Q206" t="inlineStr">
        <is>
          <t>13/05/2026</t>
        </is>
      </c>
      <c r="R206">
        <f>HYPERLINK("https://www.senado.gob.ar/parlamentario/parlamentaria/ordenDelDiaResultadoLink/2026/38"," 38 2026 AP -")</f>
        <v/>
      </c>
      <c r="S206" t="inlineStr">
        <is>
          <t xml:space="preserve">AP  04/06/2026            </t>
        </is>
      </c>
      <c r="T206" t="inlineStr">
        <is>
          <t xml:space="preserve"> - </t>
        </is>
      </c>
      <c r="V206" t="inlineStr">
        <is>
          <t>16/06/2026</t>
        </is>
      </c>
    </row>
    <row r="207">
      <c r="A207" t="inlineStr">
        <is>
          <t>PE</t>
        </is>
      </c>
      <c r="B207">
        <f>HYPERLINK("https://www.senado.gob.ar/parlamentario/comisiones/verExp/25.26/PE/AC","25")</f>
        <v/>
      </c>
      <c r="C207">
        <f>HYPERLINK("https://www.senado.gob.ar/parlamentario/comisiones/verExp/25.26/PE/AC","2026")</f>
        <v/>
      </c>
      <c r="D207" t="inlineStr">
        <is>
          <t>AC</t>
        </is>
      </c>
      <c r="E207" t="inlineStr">
        <is>
          <t>MENSAJE N° 36/26 QUE SOLICITA ACUERDO PARA DESIGNAR JUEZA DEL JUZGADO NACIONAL EN LO CRIMINAL Y CORRECCIONAL N° 17 DE LA CAPITAL FEDERAL, A LA DRA. MARIA GLORIA CAPANEGRA.</t>
        </is>
      </c>
      <c r="G207" t="inlineStr">
        <is>
          <t xml:space="preserve"> 4 09/04/2026 -</t>
        </is>
      </c>
      <c r="I207" t="inlineStr">
        <is>
          <t>16/06/2026</t>
        </is>
      </c>
      <c r="J207" t="inlineStr">
        <is>
          <t xml:space="preserve"> 30/03/2026 -</t>
        </is>
      </c>
      <c r="L207" t="inlineStr">
        <is>
          <t xml:space="preserve"> 13/05/2026 -</t>
        </is>
      </c>
      <c r="M207" t="inlineStr">
        <is>
          <t xml:space="preserve"> 30/03/2026 -</t>
        </is>
      </c>
      <c r="N207" t="n">
        <v>71</v>
      </c>
      <c r="O207" t="inlineStr">
        <is>
          <t>DE ACUERDOS</t>
        </is>
      </c>
      <c r="P207" t="inlineStr">
        <is>
          <t>30/03/2026</t>
        </is>
      </c>
      <c r="Q207" t="inlineStr">
        <is>
          <t>13/05/2026</t>
        </is>
      </c>
      <c r="R207">
        <f>HYPERLINK("https://www.senado.gob.ar/parlamentario/parlamentaria/ordenDelDiaResultadoLink/2026/37"," 37 2026 AP -")</f>
        <v/>
      </c>
      <c r="S207" t="inlineStr">
        <is>
          <t xml:space="preserve">AP  04/06/2026            </t>
        </is>
      </c>
      <c r="T207" t="inlineStr">
        <is>
          <t xml:space="preserve"> - </t>
        </is>
      </c>
      <c r="V207" t="inlineStr">
        <is>
          <t>16/06/2026</t>
        </is>
      </c>
    </row>
    <row r="208">
      <c r="A208" t="inlineStr">
        <is>
          <t>PE</t>
        </is>
      </c>
      <c r="B208">
        <f>HYPERLINK("https://www.senado.gob.ar/parlamentario/comisiones/verExp/24.26/PE/AC","24")</f>
        <v/>
      </c>
      <c r="C208">
        <f>HYPERLINK("https://www.senado.gob.ar/parlamentario/comisiones/verExp/24.26/PE/AC","2026")</f>
        <v/>
      </c>
      <c r="D208" t="inlineStr">
        <is>
          <t>AC</t>
        </is>
      </c>
      <c r="E208" t="inlineStr">
        <is>
          <t xml:space="preserve">MENSAJE N° 35/26 QUE SOLICITA ACUERDO PARA DESIGNAR VOCAL DE LA CAMARA FEDERAL DE APELACIONES DE LA PLATA, PROVINCIA DE BUENOS AIRES, SALA III, AL DR. EMILIO SANTIAGO FAGGI.
</t>
        </is>
      </c>
      <c r="G208" t="inlineStr">
        <is>
          <t xml:space="preserve"> 4 09/04/2026 -</t>
        </is>
      </c>
      <c r="I208" t="inlineStr">
        <is>
          <t>16/06/2026</t>
        </is>
      </c>
      <c r="J208" t="inlineStr">
        <is>
          <t xml:space="preserve"> 30/03/2026 -</t>
        </is>
      </c>
      <c r="L208" t="inlineStr">
        <is>
          <t xml:space="preserve"> 14/05/2026 -</t>
        </is>
      </c>
      <c r="M208" t="inlineStr">
        <is>
          <t xml:space="preserve"> 30/03/2026 -</t>
        </is>
      </c>
      <c r="N208" t="n">
        <v>71</v>
      </c>
      <c r="O208" t="inlineStr">
        <is>
          <t>DE ACUERDOS</t>
        </is>
      </c>
      <c r="P208" t="inlineStr">
        <is>
          <t>30/03/2026</t>
        </is>
      </c>
      <c r="Q208" t="inlineStr">
        <is>
          <t>14/05/2026</t>
        </is>
      </c>
      <c r="R208">
        <f>HYPERLINK("https://www.senado.gob.ar/parlamentario/parlamentaria/ordenDelDiaResultadoLink/2026/60"," 60 2026 AP -")</f>
        <v/>
      </c>
      <c r="S208" t="inlineStr">
        <is>
          <t xml:space="preserve">AP  04/06/2026            </t>
        </is>
      </c>
      <c r="T208" t="inlineStr">
        <is>
          <t xml:space="preserve"> - </t>
        </is>
      </c>
      <c r="V208" t="inlineStr">
        <is>
          <t>16/06/2026</t>
        </is>
      </c>
    </row>
    <row r="209">
      <c r="A209" t="inlineStr">
        <is>
          <t>PE</t>
        </is>
      </c>
      <c r="B209">
        <f>HYPERLINK("https://www.senado.gob.ar/parlamentario/comisiones/verExp/23.26/PE/AC","23")</f>
        <v/>
      </c>
      <c r="C209">
        <f>HYPERLINK("https://www.senado.gob.ar/parlamentario/comisiones/verExp/23.26/PE/AC","2026")</f>
        <v/>
      </c>
      <c r="D209" t="inlineStr">
        <is>
          <t>AC</t>
        </is>
      </c>
      <c r="E209" t="inlineStr">
        <is>
          <t>MENSAJE N° 34/26 QUE SOLICITA ACUERDO PARA DESIGNAR JUEZ DEL JUZGADO NACIONAL EN LO CRIMINAL Y CORRECCIONAL N° 59 DE LA CAPITAL FEDERAL, AL DR. SANTIAGO JOSE JAIMES MUNILLA.</t>
        </is>
      </c>
      <c r="G209" t="inlineStr">
        <is>
          <t xml:space="preserve"> 4 09/04/2026 -</t>
        </is>
      </c>
      <c r="I209" t="inlineStr">
        <is>
          <t>16/06/2026</t>
        </is>
      </c>
      <c r="J209" t="inlineStr">
        <is>
          <t xml:space="preserve"> 30/03/2026 -</t>
        </is>
      </c>
      <c r="L209" t="inlineStr">
        <is>
          <t xml:space="preserve"> 13/05/2026 -</t>
        </is>
      </c>
      <c r="M209" t="inlineStr">
        <is>
          <t xml:space="preserve"> 30/03/2026 -</t>
        </is>
      </c>
      <c r="N209" t="n">
        <v>71</v>
      </c>
      <c r="O209" t="inlineStr">
        <is>
          <t>DE ACUERDOS</t>
        </is>
      </c>
      <c r="P209" t="inlineStr">
        <is>
          <t>30/03/2026</t>
        </is>
      </c>
      <c r="Q209" t="inlineStr">
        <is>
          <t>13/05/2026</t>
        </is>
      </c>
      <c r="R209">
        <f>HYPERLINK("https://www.senado.gob.ar/parlamentario/parlamentaria/ordenDelDiaResultadoLink/2026/36"," 36 2026 AP -")</f>
        <v/>
      </c>
      <c r="S209" t="inlineStr">
        <is>
          <t xml:space="preserve">AP  04/06/2026            </t>
        </is>
      </c>
      <c r="T209" t="inlineStr">
        <is>
          <t xml:space="preserve"> - </t>
        </is>
      </c>
      <c r="V209" t="inlineStr">
        <is>
          <t>16/06/2026</t>
        </is>
      </c>
    </row>
    <row r="210">
      <c r="A210" t="inlineStr">
        <is>
          <t>PE</t>
        </is>
      </c>
      <c r="B210">
        <f>HYPERLINK("https://www.senado.gob.ar/parlamentario/comisiones/verExp/22.26/PE/AC","22")</f>
        <v/>
      </c>
      <c r="C210">
        <f>HYPERLINK("https://www.senado.gob.ar/parlamentario/comisiones/verExp/22.26/PE/AC","2026")</f>
        <v/>
      </c>
      <c r="D210" t="inlineStr">
        <is>
          <t>AC</t>
        </is>
      </c>
      <c r="E210" t="inlineStr">
        <is>
          <t>MENSAJE N° 33/26 QUE SOLICITA ACUERDO PARA DESIGNAR JUEZA DE CAMARA DEL TRIBUNAL ORAL EN LO CRIMINAL Y CORRECCIONAL N° 20 DE LA CAPITAL FEDERAL, A LA DRA. IVANA SANDRA QUINTEROS.</t>
        </is>
      </c>
      <c r="G210" t="inlineStr">
        <is>
          <t xml:space="preserve"> 4 09/04/2026 -</t>
        </is>
      </c>
      <c r="I210" t="inlineStr">
        <is>
          <t>16/06/2026</t>
        </is>
      </c>
      <c r="J210" t="inlineStr">
        <is>
          <t xml:space="preserve"> 30/03/2026 -</t>
        </is>
      </c>
      <c r="L210" t="inlineStr">
        <is>
          <t xml:space="preserve"> 13/05/2026 -</t>
        </is>
      </c>
      <c r="M210" t="inlineStr">
        <is>
          <t xml:space="preserve"> 30/03/2026 -</t>
        </is>
      </c>
      <c r="N210" t="n">
        <v>71</v>
      </c>
      <c r="O210" t="inlineStr">
        <is>
          <t>DE ACUERDOS</t>
        </is>
      </c>
      <c r="P210" t="inlineStr">
        <is>
          <t>30/03/2026</t>
        </is>
      </c>
      <c r="Q210" t="inlineStr">
        <is>
          <t>13/05/2026</t>
        </is>
      </c>
      <c r="R210">
        <f>HYPERLINK("https://www.senado.gob.ar/parlamentario/parlamentaria/ordenDelDiaResultadoLink/2026/35"," 35 2026 AP -")</f>
        <v/>
      </c>
      <c r="S210" t="inlineStr">
        <is>
          <t xml:space="preserve">AP  04/06/2026            </t>
        </is>
      </c>
      <c r="T210" t="inlineStr">
        <is>
          <t xml:space="preserve"> - </t>
        </is>
      </c>
      <c r="V210" t="inlineStr">
        <is>
          <t>16/06/2026</t>
        </is>
      </c>
    </row>
    <row r="211">
      <c r="A211" t="inlineStr">
        <is>
          <t>PE</t>
        </is>
      </c>
      <c r="B211">
        <f>HYPERLINK("https://www.senado.gob.ar/parlamentario/comisiones/verExp/21.26/PE/AC","21")</f>
        <v/>
      </c>
      <c r="C211">
        <f>HYPERLINK("https://www.senado.gob.ar/parlamentario/comisiones/verExp/21.26/PE/AC","2026")</f>
        <v/>
      </c>
      <c r="D211" t="inlineStr">
        <is>
          <t>AC</t>
        </is>
      </c>
      <c r="E211" t="inlineStr">
        <is>
          <t>MENSAJE N° 32/26 QUE SOLICITA ACUERDO PARA DESIGNAR VOCAL DE LA CAMARA NACIONAL DE CASACION EN LO CRIMINAL Y CORRECCIONAL DE LA CAPITAL FEDERAL, VOCALIA N° 10, AL DR. NICOLAS GRAPPASONNO.</t>
        </is>
      </c>
      <c r="G211" t="inlineStr">
        <is>
          <t xml:space="preserve"> 4 09/04/2026 -</t>
        </is>
      </c>
      <c r="I211" t="inlineStr">
        <is>
          <t>16/06/2026</t>
        </is>
      </c>
      <c r="J211" t="inlineStr">
        <is>
          <t xml:space="preserve"> 30/03/2026 -</t>
        </is>
      </c>
      <c r="L211" t="inlineStr">
        <is>
          <t xml:space="preserve"> 13/05/2026 -</t>
        </is>
      </c>
      <c r="M211" t="inlineStr">
        <is>
          <t xml:space="preserve"> 30/03/2026 -</t>
        </is>
      </c>
      <c r="N211" t="n">
        <v>71</v>
      </c>
      <c r="O211" t="inlineStr">
        <is>
          <t>DE ACUERDOS</t>
        </is>
      </c>
      <c r="P211" t="inlineStr">
        <is>
          <t>30/03/2026</t>
        </is>
      </c>
      <c r="Q211" t="inlineStr">
        <is>
          <t>13/05/2026</t>
        </is>
      </c>
      <c r="R211">
        <f>HYPERLINK("https://www.senado.gob.ar/parlamentario/parlamentaria/ordenDelDiaResultadoLink/2026/34"," 34 2026 AP -")</f>
        <v/>
      </c>
      <c r="S211" t="inlineStr">
        <is>
          <t xml:space="preserve">AP  04/06/2026            </t>
        </is>
      </c>
      <c r="T211" t="inlineStr">
        <is>
          <t xml:space="preserve"> - </t>
        </is>
      </c>
      <c r="V211" t="inlineStr">
        <is>
          <t>16/06/2026</t>
        </is>
      </c>
    </row>
    <row r="212">
      <c r="A212" t="inlineStr">
        <is>
          <t>PE</t>
        </is>
      </c>
      <c r="B212">
        <f>HYPERLINK("https://www.senado.gob.ar/parlamentario/comisiones/verExp/20.26/PE/AC","20")</f>
        <v/>
      </c>
      <c r="C212">
        <f>HYPERLINK("https://www.senado.gob.ar/parlamentario/comisiones/verExp/20.26/PE/AC","2026")</f>
        <v/>
      </c>
      <c r="D212" t="inlineStr">
        <is>
          <t>AC</t>
        </is>
      </c>
      <c r="E212" t="inlineStr">
        <is>
          <t>MENSAJE N° 30/26 QUE SOLICITA ACUERDO PARA DESIGNAR JUEZ DEL JUZGADO NACIONAL DE PRIMERA INSTANCIA EN LO CIVIL N° 44 DE LA CAPITAL FEDERAL, AL DR. JULIAN HERRERA.</t>
        </is>
      </c>
      <c r="G212" t="inlineStr">
        <is>
          <t xml:space="preserve"> 4 09/04/2026 -</t>
        </is>
      </c>
      <c r="I212" t="inlineStr">
        <is>
          <t>16/06/2026</t>
        </is>
      </c>
      <c r="J212" t="inlineStr">
        <is>
          <t xml:space="preserve"> 30/03/2026 -</t>
        </is>
      </c>
      <c r="L212" t="inlineStr">
        <is>
          <t xml:space="preserve"> 13/05/2026 -</t>
        </is>
      </c>
      <c r="M212" t="inlineStr">
        <is>
          <t xml:space="preserve"> 30/03/2026 -</t>
        </is>
      </c>
      <c r="N212" t="n">
        <v>71</v>
      </c>
      <c r="O212" t="inlineStr">
        <is>
          <t>DE ACUERDOS</t>
        </is>
      </c>
      <c r="P212" t="inlineStr">
        <is>
          <t>30/03/2026</t>
        </is>
      </c>
      <c r="Q212" t="inlineStr">
        <is>
          <t>13/05/2026</t>
        </is>
      </c>
      <c r="R212">
        <f>HYPERLINK("https://www.senado.gob.ar/parlamentario/parlamentaria/ordenDelDiaResultadoLink/2026/33"," 33 2026 AP -")</f>
        <v/>
      </c>
      <c r="S212" t="inlineStr">
        <is>
          <t xml:space="preserve">AP  04/06/2026            </t>
        </is>
      </c>
      <c r="T212" t="inlineStr">
        <is>
          <t xml:space="preserve"> - </t>
        </is>
      </c>
      <c r="V212" t="inlineStr">
        <is>
          <t>16/06/2026</t>
        </is>
      </c>
    </row>
    <row r="213">
      <c r="A213" t="inlineStr">
        <is>
          <t>PE</t>
        </is>
      </c>
      <c r="B213">
        <f>HYPERLINK("https://www.senado.gob.ar/parlamentario/comisiones/verExp/19.26/PE/AC","19")</f>
        <v/>
      </c>
      <c r="C213">
        <f>HYPERLINK("https://www.senado.gob.ar/parlamentario/comisiones/verExp/19.26/PE/AC","2026")</f>
        <v/>
      </c>
      <c r="D213" t="inlineStr">
        <is>
          <t>AC</t>
        </is>
      </c>
      <c r="E213" t="inlineStr">
        <is>
          <t>MENSAJE N° 29/26 QUE SOLICITA ACUERDO PARA DESIGNAR JUEZ DEL JUZGADO NACIONAL DE MENORES N° 2 DE LA CAPITAL FEDERAL AL DR. IGNACIO LABADENS.</t>
        </is>
      </c>
      <c r="G213" t="inlineStr">
        <is>
          <t xml:space="preserve"> 4 09/04/2026 -</t>
        </is>
      </c>
      <c r="I213" t="inlineStr">
        <is>
          <t>16/06/2026</t>
        </is>
      </c>
      <c r="J213" t="inlineStr">
        <is>
          <t xml:space="preserve"> 30/03/2026 -</t>
        </is>
      </c>
      <c r="L213" t="inlineStr">
        <is>
          <t xml:space="preserve"> 13/05/2026 -</t>
        </is>
      </c>
      <c r="M213" t="inlineStr">
        <is>
          <t xml:space="preserve"> 30/03/2026 -</t>
        </is>
      </c>
      <c r="N213" t="n">
        <v>71</v>
      </c>
      <c r="O213" t="inlineStr">
        <is>
          <t>DE ACUERDOS</t>
        </is>
      </c>
      <c r="P213" t="inlineStr">
        <is>
          <t>30/03/2026</t>
        </is>
      </c>
      <c r="Q213" t="inlineStr">
        <is>
          <t>13/05/2026</t>
        </is>
      </c>
      <c r="R213">
        <f>HYPERLINK("https://www.senado.gob.ar/parlamentario/parlamentaria/ordenDelDiaResultadoLink/2026/32"," 32 2026 AP -")</f>
        <v/>
      </c>
      <c r="S213" t="inlineStr">
        <is>
          <t xml:space="preserve">AP  04/06/2026            </t>
        </is>
      </c>
      <c r="T213" t="inlineStr">
        <is>
          <t xml:space="preserve"> - </t>
        </is>
      </c>
      <c r="V213" t="inlineStr">
        <is>
          <t>16/06/2026</t>
        </is>
      </c>
    </row>
    <row r="214">
      <c r="A214" t="inlineStr">
        <is>
          <t>PE</t>
        </is>
      </c>
      <c r="B214">
        <f>HYPERLINK("https://www.senado.gob.ar/parlamentario/comisiones/verExp/18.26/PE/AC","18")</f>
        <v/>
      </c>
      <c r="C214">
        <f>HYPERLINK("https://www.senado.gob.ar/parlamentario/comisiones/verExp/18.26/PE/AC","2026")</f>
        <v/>
      </c>
      <c r="D214" t="inlineStr">
        <is>
          <t>AC</t>
        </is>
      </c>
      <c r="E214" t="inlineStr">
        <is>
          <t>MENSAJE N° 28/26 QUE SOLICITA ACUERDO PARA DESIGNAR JUEZ DEL JUZGADO NACIONAL DE PRIMERA INSTANCIA EN LO CIVIL N° 5 DE LA CAPITAL FEDERAL, AL DR. JAVIER ALBERTO SANTISO.</t>
        </is>
      </c>
      <c r="G214" t="inlineStr">
        <is>
          <t xml:space="preserve"> 4 09/04/2026 -</t>
        </is>
      </c>
      <c r="I214" t="inlineStr">
        <is>
          <t>16/06/2026</t>
        </is>
      </c>
      <c r="J214" t="inlineStr">
        <is>
          <t xml:space="preserve"> 30/03/2026 -</t>
        </is>
      </c>
      <c r="L214" t="inlineStr">
        <is>
          <t xml:space="preserve"> 13/05/2026 -</t>
        </is>
      </c>
      <c r="M214" t="inlineStr">
        <is>
          <t xml:space="preserve"> 30/03/2026 -</t>
        </is>
      </c>
      <c r="N214" t="n">
        <v>71</v>
      </c>
      <c r="O214" t="inlineStr">
        <is>
          <t>DE ACUERDOS</t>
        </is>
      </c>
      <c r="P214" t="inlineStr">
        <is>
          <t>30/03/2026</t>
        </is>
      </c>
      <c r="Q214" t="inlineStr">
        <is>
          <t>13/05/2026</t>
        </is>
      </c>
      <c r="R214">
        <f>HYPERLINK("https://www.senado.gob.ar/parlamentario/parlamentaria/ordenDelDiaResultadoLink/2026/31"," 31 2026 AP -")</f>
        <v/>
      </c>
      <c r="S214" t="inlineStr">
        <is>
          <t xml:space="preserve">AP  04/06/2026            </t>
        </is>
      </c>
      <c r="T214" t="inlineStr">
        <is>
          <t xml:space="preserve"> - </t>
        </is>
      </c>
      <c r="V214" t="inlineStr">
        <is>
          <t>16/06/2026</t>
        </is>
      </c>
    </row>
    <row r="215">
      <c r="A215" t="inlineStr">
        <is>
          <t>PE</t>
        </is>
      </c>
      <c r="B215">
        <f>HYPERLINK("https://www.senado.gob.ar/parlamentario/comisiones/verExp/17.26/PE/AC","17")</f>
        <v/>
      </c>
      <c r="C215">
        <f>HYPERLINK("https://www.senado.gob.ar/parlamentario/comisiones/verExp/17.26/PE/AC","2026")</f>
        <v/>
      </c>
      <c r="D215" t="inlineStr">
        <is>
          <t>AC</t>
        </is>
      </c>
      <c r="E215" t="inlineStr">
        <is>
          <t>MENSAJE N° 27/26 QUE SOLICITA ACUERDO PARA DESIGNAR JUEZ DEL JUZGADO NACIONAL EN LO CRIMINAL Y CORRECCIONAL N° 13 DE LA CAPITAL FEDERAL, AL DR. SANTIAGO ALBERTO PONCIO.</t>
        </is>
      </c>
      <c r="G215" t="inlineStr">
        <is>
          <t xml:space="preserve"> 4 09/04/2026 -</t>
        </is>
      </c>
      <c r="I215" t="inlineStr">
        <is>
          <t>16/06/2026</t>
        </is>
      </c>
      <c r="J215" t="inlineStr">
        <is>
          <t xml:space="preserve"> 30/03/2026 -</t>
        </is>
      </c>
      <c r="L215" t="inlineStr">
        <is>
          <t xml:space="preserve"> 13/05/2026 -</t>
        </is>
      </c>
      <c r="M215" t="inlineStr">
        <is>
          <t xml:space="preserve"> 30/03/2026 -</t>
        </is>
      </c>
      <c r="N215" t="n">
        <v>71</v>
      </c>
      <c r="O215" t="inlineStr">
        <is>
          <t>DE ACUERDOS</t>
        </is>
      </c>
      <c r="P215" t="inlineStr">
        <is>
          <t>30/03/2026</t>
        </is>
      </c>
      <c r="Q215" t="inlineStr">
        <is>
          <t>13/05/2026</t>
        </is>
      </c>
      <c r="R215">
        <f>HYPERLINK("https://www.senado.gob.ar/parlamentario/parlamentaria/ordenDelDiaResultadoLink/2026/30"," 30 2026 AP -")</f>
        <v/>
      </c>
      <c r="S215" t="inlineStr">
        <is>
          <t xml:space="preserve">AP  04/06/2026            </t>
        </is>
      </c>
      <c r="T215" t="inlineStr">
        <is>
          <t xml:space="preserve"> - </t>
        </is>
      </c>
      <c r="V215" t="inlineStr">
        <is>
          <t>16/06/2026</t>
        </is>
      </c>
    </row>
    <row r="216">
      <c r="A216" t="inlineStr">
        <is>
          <t>PE</t>
        </is>
      </c>
      <c r="B216">
        <f>HYPERLINK("https://www.senado.gob.ar/parlamentario/comisiones/verExp/16.26/PE/AC","16")</f>
        <v/>
      </c>
      <c r="C216">
        <f>HYPERLINK("https://www.senado.gob.ar/parlamentario/comisiones/verExp/16.26/PE/AC","2026")</f>
        <v/>
      </c>
      <c r="D216" t="inlineStr">
        <is>
          <t>AC</t>
        </is>
      </c>
      <c r="E216" t="inlineStr">
        <is>
          <t>MENSAJE N° 26/26 QUE SOLICITA ACUERDO PARA DESIGNAR JUEZ DE CAMARA DEL TRIBUNAL ORAL EN LO CRIMINAL Y CORRECCIONAL N° 1 DE LA CAPITAL FEDERAL, AL DR. NICOLAS ANTONIO PACILIO.</t>
        </is>
      </c>
      <c r="G216" t="inlineStr">
        <is>
          <t xml:space="preserve"> 4 09/04/2026 -</t>
        </is>
      </c>
      <c r="I216" t="inlineStr">
        <is>
          <t>16/06/2026</t>
        </is>
      </c>
      <c r="J216" t="inlineStr">
        <is>
          <t xml:space="preserve"> 30/03/2026 -</t>
        </is>
      </c>
      <c r="L216" t="inlineStr">
        <is>
          <t xml:space="preserve"> 14/05/2026 -</t>
        </is>
      </c>
      <c r="M216" t="inlineStr">
        <is>
          <t xml:space="preserve"> 30/03/2026 -</t>
        </is>
      </c>
      <c r="N216" t="n">
        <v>71</v>
      </c>
      <c r="O216" t="inlineStr">
        <is>
          <t>DE ACUERDOS</t>
        </is>
      </c>
      <c r="P216" t="inlineStr">
        <is>
          <t>30/03/2026</t>
        </is>
      </c>
      <c r="Q216" t="inlineStr">
        <is>
          <t>14/05/2026</t>
        </is>
      </c>
      <c r="R216">
        <f>HYPERLINK("https://www.senado.gob.ar/parlamentario/parlamentaria/ordenDelDiaResultadoLink/2026/59"," 59 2026 AP -")</f>
        <v/>
      </c>
      <c r="S216" t="inlineStr">
        <is>
          <t xml:space="preserve">AP  04/06/2026            </t>
        </is>
      </c>
      <c r="T216" t="inlineStr">
        <is>
          <t xml:space="preserve"> - </t>
        </is>
      </c>
      <c r="V216" t="inlineStr">
        <is>
          <t>16/06/2026</t>
        </is>
      </c>
    </row>
    <row r="217">
      <c r="A217" t="inlineStr">
        <is>
          <t>PE</t>
        </is>
      </c>
      <c r="B217">
        <f>HYPERLINK("https://www.senado.gob.ar/parlamentario/comisiones/verExp/15.26/PE/AC","15")</f>
        <v/>
      </c>
      <c r="C217">
        <f>HYPERLINK("https://www.senado.gob.ar/parlamentario/comisiones/verExp/15.26/PE/AC","2026")</f>
        <v/>
      </c>
      <c r="D217" t="inlineStr">
        <is>
          <t>AC</t>
        </is>
      </c>
      <c r="E217" t="inlineStr">
        <is>
          <t>MENSAJE N° 25/26 QUE SOLICITA ACUERDO PARA DESIGNAR JUEZ DE CAMARA DEL TRIBUNAL ORAL DE MENORES N° 3 DE LA CAPITAL FEDERAL, AL DR. RICARDO SANTIAGO LOMBARDO.</t>
        </is>
      </c>
      <c r="G217" t="inlineStr">
        <is>
          <t xml:space="preserve"> 4 09/04/2026 -</t>
        </is>
      </c>
      <c r="I217" t="inlineStr">
        <is>
          <t>16/06/2026</t>
        </is>
      </c>
      <c r="J217" t="inlineStr">
        <is>
          <t xml:space="preserve"> 30/03/2026 -</t>
        </is>
      </c>
      <c r="L217" t="inlineStr">
        <is>
          <t xml:space="preserve"> 13/05/2026 -</t>
        </is>
      </c>
      <c r="M217" t="inlineStr">
        <is>
          <t xml:space="preserve"> 30/03/2026 -</t>
        </is>
      </c>
      <c r="N217" t="n">
        <v>71</v>
      </c>
      <c r="O217" t="inlineStr">
        <is>
          <t>DE ACUERDOS</t>
        </is>
      </c>
      <c r="P217" t="inlineStr">
        <is>
          <t>30/03/2026</t>
        </is>
      </c>
      <c r="Q217" t="inlineStr">
        <is>
          <t>13/05/2026</t>
        </is>
      </c>
      <c r="R217">
        <f>HYPERLINK("https://www.senado.gob.ar/parlamentario/parlamentaria/ordenDelDiaResultadoLink/2026/29"," 29 2026 AP -")</f>
        <v/>
      </c>
      <c r="S217" t="inlineStr">
        <is>
          <t xml:space="preserve">AP  04/06/2026            </t>
        </is>
      </c>
      <c r="T217" t="inlineStr">
        <is>
          <t xml:space="preserve"> - </t>
        </is>
      </c>
      <c r="V217" t="inlineStr">
        <is>
          <t>16/06/2026</t>
        </is>
      </c>
    </row>
    <row r="218">
      <c r="A218" t="inlineStr">
        <is>
          <t>PE</t>
        </is>
      </c>
      <c r="B218">
        <f>HYPERLINK("https://www.senado.gob.ar/parlamentario/comisiones/verExp/176.25/PE/AC","176")</f>
        <v/>
      </c>
      <c r="C218">
        <f>HYPERLINK("https://www.senado.gob.ar/parlamentario/comisiones/verExp/176.25/PE/AC","2025")</f>
        <v/>
      </c>
      <c r="D218" t="inlineStr">
        <is>
          <t>AC</t>
        </is>
      </c>
      <c r="E218" t="inlineStr">
        <is>
          <t>MENSAJE N° 4/26 QUE SOLICITA ACUERDO A FIN DE POSIBILITAR UN NUEVO NOMBRAMIENTO PARA DESIGNAR VOCAL DE LA CAMARA FEDERAL DE CASACION PENAL, VOCALIA VII, AL DR. CARLOS ALBERTO MAHIQUES.</t>
        </is>
      </c>
      <c r="G218" t="inlineStr">
        <is>
          <t xml:space="preserve"> 9 18/03/2026 -</t>
        </is>
      </c>
      <c r="J218" t="inlineStr">
        <is>
          <t xml:space="preserve"> 04/02/2026 -</t>
        </is>
      </c>
      <c r="L218" t="inlineStr">
        <is>
          <t xml:space="preserve"> 16/04/2026 -</t>
        </is>
      </c>
      <c r="M218" t="inlineStr">
        <is>
          <t xml:space="preserve"> 04/02/2026 -</t>
        </is>
      </c>
      <c r="N218" t="n">
        <v>71</v>
      </c>
      <c r="O218" t="inlineStr">
        <is>
          <t>DE ACUERDOS</t>
        </is>
      </c>
      <c r="P218" t="inlineStr">
        <is>
          <t>04/02/2026</t>
        </is>
      </c>
      <c r="Q218" t="inlineStr">
        <is>
          <t>16/04/2026</t>
        </is>
      </c>
      <c r="R218">
        <f>HYPERLINK("https://www.senado.gob.ar/parlamentario/parlamentaria/ordenDelDiaResultadoLink/2026/17"," 17 2026 AP -")</f>
        <v/>
      </c>
      <c r="S218" t="inlineStr">
        <is>
          <t xml:space="preserve">AP  14/05/2026            </t>
        </is>
      </c>
      <c r="T218" t="inlineStr">
        <is>
          <t xml:space="preserve"> - </t>
        </is>
      </c>
    </row>
    <row r="219">
      <c r="A219" t="inlineStr">
        <is>
          <t>PE</t>
        </is>
      </c>
      <c r="B219">
        <f>HYPERLINK("https://www.senado.gob.ar/parlamentario/comisiones/verExp/114.25/PE/AC","114")</f>
        <v/>
      </c>
      <c r="C219">
        <f>HYPERLINK("https://www.senado.gob.ar/parlamentario/comisiones/verExp/114.25/PE/AC","2025")</f>
        <v/>
      </c>
      <c r="D219" t="inlineStr">
        <is>
          <t>AC</t>
        </is>
      </c>
      <c r="E219" t="inlineStr">
        <is>
          <t xml:space="preserve">MENSAJE N° 24/25 QUE SOLICITA ACUERDO A FIN DE POSIBILITAR UN NUEVO NOMBRAMIENTO PARA DESIGNAR VOCAL DE LA CAMARA FEDERAL DE APELACIONES DE POSADAS, PROV. DE MISIONES, A LA DRA. MIRTA DELIA TYDEN.
</t>
        </is>
      </c>
      <c r="G219" t="inlineStr">
        <is>
          <t xml:space="preserve"> 4 04/09/2025 -</t>
        </is>
      </c>
      <c r="I219" t="inlineStr">
        <is>
          <t>09/10/2025</t>
        </is>
      </c>
      <c r="J219" t="inlineStr">
        <is>
          <t xml:space="preserve"> 26/08/2025 -</t>
        </is>
      </c>
      <c r="L219" t="inlineStr">
        <is>
          <t xml:space="preserve"> 25/09/2025 -</t>
        </is>
      </c>
      <c r="M219" t="inlineStr">
        <is>
          <t xml:space="preserve"> 27/08/2025 -</t>
        </is>
      </c>
      <c r="N219" t="n">
        <v>71</v>
      </c>
      <c r="O219" t="inlineStr">
        <is>
          <t>DE ACUERDOS</t>
        </is>
      </c>
      <c r="P219" t="inlineStr">
        <is>
          <t>27/08/2025</t>
        </is>
      </c>
      <c r="Q219" t="inlineStr">
        <is>
          <t>25/09/2025</t>
        </is>
      </c>
      <c r="R219">
        <f>HYPERLINK("https://www.senado.gob.ar/parlamentario/parlamentaria/ordenDelDiaResultadoLink/2025/575"," 575 2025 AP -")</f>
        <v/>
      </c>
      <c r="S219" t="inlineStr">
        <is>
          <t xml:space="preserve">AP  02/10/2025            </t>
        </is>
      </c>
      <c r="T219" t="inlineStr">
        <is>
          <t xml:space="preserve"> - </t>
        </is>
      </c>
      <c r="V219" t="inlineStr">
        <is>
          <t>09/10/2025</t>
        </is>
      </c>
    </row>
    <row r="220">
      <c r="A220" t="inlineStr">
        <is>
          <t>PE</t>
        </is>
      </c>
      <c r="B220">
        <f>HYPERLINK("https://www.senado.gob.ar/parlamentario/comisiones/verExp/129.24/PE/AC","129")</f>
        <v/>
      </c>
      <c r="C220">
        <f>HYPERLINK("https://www.senado.gob.ar/parlamentario/comisiones/verExp/129.24/PE/AC","2024")</f>
        <v/>
      </c>
      <c r="D220" t="inlineStr">
        <is>
          <t>AC</t>
        </is>
      </c>
      <c r="E220" t="inlineStr">
        <is>
          <t xml:space="preserve">MENSAJE N° 65/24 QUE SOLICITA EL RETIRO DEL PEDIDO DE ACUERDO PARA EL ASCENSO AL GRADO INMEDIATO SUPERIOR, AL 31 DE DICIEMBRE DE 2022, DEL GENERAL DE BRIGADA JORGE FABIAN BERREDO Y DEL CORONEL GUSTAVO ADRIAN SIVORI, AMBOS INCLUIDOS EN EL MENSAJE Nº 91/23.  
</t>
        </is>
      </c>
      <c r="G220" t="inlineStr">
        <is>
          <t xml:space="preserve"> 16 24/04/2025 -</t>
        </is>
      </c>
      <c r="J220" t="inlineStr">
        <is>
          <t xml:space="preserve"> 22/11/2024 -</t>
        </is>
      </c>
      <c r="L220" t="inlineStr">
        <is>
          <t xml:space="preserve">  -</t>
        </is>
      </c>
      <c r="M220" t="inlineStr">
        <is>
          <t xml:space="preserve"> 22/11/2024 -</t>
        </is>
      </c>
      <c r="N220" t="n">
        <v>71</v>
      </c>
      <c r="O220" t="inlineStr">
        <is>
          <t>DE ACUERDOS</t>
        </is>
      </c>
      <c r="P220" t="inlineStr">
        <is>
          <t>22/11/2024</t>
        </is>
      </c>
      <c r="R220">
        <f>HYPERLINK("","")</f>
        <v/>
      </c>
      <c r="S220" t="inlineStr">
        <is>
          <t xml:space="preserve">              </t>
        </is>
      </c>
      <c r="T220" t="inlineStr">
        <is>
          <t xml:space="preserve"> - </t>
        </is>
      </c>
    </row>
    <row r="221">
      <c r="A221" t="inlineStr">
        <is>
          <t>PE</t>
        </is>
      </c>
      <c r="B221">
        <f>HYPERLINK("https://www.senado.gob.ar/parlamentario/comisiones/verExp/124.24/PE/AC","124")</f>
        <v/>
      </c>
      <c r="C221">
        <f>HYPERLINK("https://www.senado.gob.ar/parlamentario/comisiones/verExp/124.24/PE/AC","2024")</f>
        <v/>
      </c>
      <c r="D221" t="inlineStr">
        <is>
          <t>AC</t>
        </is>
      </c>
      <c r="E221" t="inlineStr">
        <is>
          <t>MENSAJE N° 62/24, QUE SOLICITA ACUERDO A FIN DE POSIBILITAR UN NUEVO NOMBRAMIENTO PARA DESIGNAR JUEZ DE CAMARA DEL TRIBUNAL ORAL EN LO CRIMINAL FEDERAL DE SAN LUIS, PROV. DE SAN LUIS, AL DR. RAUL ALBERTO FOURCADE.</t>
        </is>
      </c>
      <c r="G221" t="inlineStr">
        <is>
          <t xml:space="preserve"> 16 20/02/2025 -</t>
        </is>
      </c>
      <c r="J221" t="inlineStr">
        <is>
          <t xml:space="preserve"> 14/11/2024 -</t>
        </is>
      </c>
      <c r="L221" t="inlineStr">
        <is>
          <t xml:space="preserve">  -</t>
        </is>
      </c>
      <c r="M221" t="inlineStr">
        <is>
          <t xml:space="preserve"> 22/11/2024 -</t>
        </is>
      </c>
      <c r="N221" t="n">
        <v>71</v>
      </c>
      <c r="O221" t="inlineStr">
        <is>
          <t>DE ACUERDOS</t>
        </is>
      </c>
      <c r="P221" t="inlineStr">
        <is>
          <t>22/11/2024</t>
        </is>
      </c>
      <c r="R221">
        <f>HYPERLINK("","")</f>
        <v/>
      </c>
      <c r="S221" t="inlineStr">
        <is>
          <t xml:space="preserve">              </t>
        </is>
      </c>
      <c r="T221" t="inlineStr">
        <is>
          <t xml:space="preserve"> - </t>
        </is>
      </c>
    </row>
    <row r="222">
      <c r="A222" t="inlineStr">
        <is>
          <t>PE</t>
        </is>
      </c>
      <c r="B222">
        <f>HYPERLINK("https://www.senado.gob.ar/parlamentario/comisiones/verExp/78.24/PE/AC","78")</f>
        <v/>
      </c>
      <c r="C222">
        <f>HYPERLINK("https://www.senado.gob.ar/parlamentario/comisiones/verExp/78.24/PE/AC","2024")</f>
        <v/>
      </c>
      <c r="D222" t="inlineStr">
        <is>
          <t>AC</t>
        </is>
      </c>
      <c r="E222" t="inlineStr">
        <is>
          <t>MENSAJE N° 51/24 QUE SOLICITA ACUERDO A FIN DE POSIBILITAR UN NUEVO NOMBRAMIENTO PARA DESIGNAR VOCAL DE LA CAMARA NACIONAL DE APELACIONES EN LO PENAL ECONOMICO DE LA CAPITAL FEDERAL, SALA B, AL DR. ROBERTO ENRIQUE HORNOS.</t>
        </is>
      </c>
      <c r="G222" t="inlineStr">
        <is>
          <t xml:space="preserve"> 13 22/08/2024 -</t>
        </is>
      </c>
      <c r="I222" t="inlineStr">
        <is>
          <t>02/10/2024</t>
        </is>
      </c>
      <c r="J222" t="inlineStr">
        <is>
          <t xml:space="preserve"> 02/08/2024 -</t>
        </is>
      </c>
      <c r="L222" t="inlineStr">
        <is>
          <t xml:space="preserve"> 18/09/2024 -</t>
        </is>
      </c>
      <c r="M222" t="inlineStr">
        <is>
          <t xml:space="preserve"> 02/08/2024 -</t>
        </is>
      </c>
      <c r="N222" t="n">
        <v>71</v>
      </c>
      <c r="O222" t="inlineStr">
        <is>
          <t>DE ACUERDOS</t>
        </is>
      </c>
      <c r="P222" t="inlineStr">
        <is>
          <t>02/08/2024</t>
        </is>
      </c>
      <c r="Q222" t="inlineStr">
        <is>
          <t>18/09/2024</t>
        </is>
      </c>
      <c r="R222">
        <f>HYPERLINK("https://www.senado.gob.ar/parlamentario/parlamentaria/ordenDelDiaResultadoLink/2024/152"," 152 2024 AP -")</f>
        <v/>
      </c>
      <c r="S222" t="inlineStr">
        <is>
          <t xml:space="preserve">AP  26/09/2024            </t>
        </is>
      </c>
      <c r="T222" t="inlineStr">
        <is>
          <t xml:space="preserve"> - </t>
        </is>
      </c>
      <c r="V222" t="inlineStr">
        <is>
          <t>02/10/2024</t>
        </is>
      </c>
    </row>
    <row r="223">
      <c r="A223" t="inlineStr">
        <is>
          <t>PE</t>
        </is>
      </c>
      <c r="B223">
        <f>HYPERLINK("https://www.senado.gob.ar/parlamentario/comisiones/verExp/77.24/PE/AC","77")</f>
        <v/>
      </c>
      <c r="C223">
        <f>HYPERLINK("https://www.senado.gob.ar/parlamentario/comisiones/verExp/77.24/PE/AC","2024")</f>
        <v/>
      </c>
      <c r="D223" t="inlineStr">
        <is>
          <t>AC</t>
        </is>
      </c>
      <c r="E223" t="inlineStr">
        <is>
          <t xml:space="preserve">MENSAJE N° 50/24 QUE SOLICITA  ACUERDO A FIN DE POSIBILITAR UN NUEVO NOMBRAMIENTO PARA DESIGNAR VOCAL DE LA CAMARA NACIONAL DE APELACIONES EN LO CONTENCIOSO ADMINISTRATIVO FEDERAL DE LA CAPITAL FEDERAL, SALA IV, AL DR. JORGE EDUARDO MORAN.
</t>
        </is>
      </c>
      <c r="G223" t="inlineStr">
        <is>
          <t xml:space="preserve"> 13 22/08/2024 -</t>
        </is>
      </c>
      <c r="I223" t="inlineStr">
        <is>
          <t>02/10/2024</t>
        </is>
      </c>
      <c r="J223" t="inlineStr">
        <is>
          <t xml:space="preserve"> 02/08/2024 -</t>
        </is>
      </c>
      <c r="L223" t="inlineStr">
        <is>
          <t xml:space="preserve"> 18/09/2024 -</t>
        </is>
      </c>
      <c r="M223" t="inlineStr">
        <is>
          <t xml:space="preserve"> 02/08/2024 -</t>
        </is>
      </c>
      <c r="N223" t="n">
        <v>71</v>
      </c>
      <c r="O223" t="inlineStr">
        <is>
          <t>DE ACUERDOS</t>
        </is>
      </c>
      <c r="P223" t="inlineStr">
        <is>
          <t>02/08/2024</t>
        </is>
      </c>
      <c r="Q223" t="inlineStr">
        <is>
          <t>18/09/2024</t>
        </is>
      </c>
      <c r="R223">
        <f>HYPERLINK("https://www.senado.gob.ar/parlamentario/parlamentaria/ordenDelDiaResultadoLink/2024/151"," 151 2024 AP -")</f>
        <v/>
      </c>
      <c r="S223" t="inlineStr">
        <is>
          <t xml:space="preserve">AP  26/09/2024            </t>
        </is>
      </c>
      <c r="T223" t="inlineStr">
        <is>
          <t xml:space="preserve"> - </t>
        </is>
      </c>
      <c r="V223" t="inlineStr">
        <is>
          <t>02/10/2024</t>
        </is>
      </c>
    </row>
    <row r="224">
      <c r="A224" t="inlineStr">
        <is>
          <t>PE</t>
        </is>
      </c>
      <c r="B224">
        <f>HYPERLINK("https://www.senado.gob.ar/parlamentario/comisiones/verExp/218.23/PE/AC","218")</f>
        <v/>
      </c>
      <c r="C224">
        <f>HYPERLINK("https://www.senado.gob.ar/parlamentario/comisiones/verExp/218.23/PE/AC","2023")</f>
        <v/>
      </c>
      <c r="D224" t="inlineStr">
        <is>
          <t>AC</t>
        </is>
      </c>
      <c r="E224" t="inlineStr">
        <is>
          <t>MENSAJE N° 11/24 QUE SOLICITA ACUERDO A FIN DE POSIBILITAR UN NUEVO NOMBRAMIENTO PARA DESIGNAR VOCAL DE LA CAMARA NACIONAL DE APELACIONES EN LO CONTENCIOSO ADMINISTRATIVO FEDERAL DE LA CAPITAL FEDERAL, SALA III, AL DR. CARLOS MANUEL GRECCO.</t>
        </is>
      </c>
      <c r="G224" t="inlineStr">
        <is>
          <t xml:space="preserve"> 15 14/03/2024 -</t>
        </is>
      </c>
      <c r="J224" t="inlineStr">
        <is>
          <t xml:space="preserve"> 31/01/2024 -</t>
        </is>
      </c>
      <c r="L224" t="inlineStr">
        <is>
          <t xml:space="preserve">  -</t>
        </is>
      </c>
      <c r="M224" t="inlineStr">
        <is>
          <t xml:space="preserve"> 01/02/2024 -</t>
        </is>
      </c>
      <c r="N224" t="n">
        <v>71</v>
      </c>
      <c r="O224" t="inlineStr">
        <is>
          <t>DE ACUERDOS</t>
        </is>
      </c>
      <c r="P224" t="inlineStr">
        <is>
          <t>01/02/2024</t>
        </is>
      </c>
      <c r="R224">
        <f>HYPERLINK("","")</f>
        <v/>
      </c>
      <c r="S224" t="inlineStr">
        <is>
          <t xml:space="preserve">              </t>
        </is>
      </c>
      <c r="T224" t="inlineStr">
        <is>
          <t xml:space="preserve"> - </t>
        </is>
      </c>
    </row>
    <row r="225">
      <c r="A225" t="inlineStr">
        <is>
          <t>PE</t>
        </is>
      </c>
      <c r="B225">
        <f>HYPERLINK("https://www.senado.gob.ar/parlamentario/comisiones/verExp/304.26/PE/AC","304")</f>
        <v/>
      </c>
      <c r="C225">
        <f>HYPERLINK("https://www.senado.gob.ar/parlamentario/comisiones/verExp/304.26/PE/AC","2026")</f>
        <v/>
      </c>
      <c r="D225" t="inlineStr">
        <is>
          <t>AC</t>
        </is>
      </c>
      <c r="E225" t="inlineStr">
        <is>
          <t>MENSAJE N° 273/26 QUE SOLICITA ACUERDO PARA DESIGNAR JUEZ PENAL FEDERAL DEL JUZGADO FEDERAL DE GARANTIAS CON ASIENTO EN LA CDAD. DE RAFAELA, PROV. DE SANTA FE, AL DR. GUIDO YERCOVICH.</t>
        </is>
      </c>
      <c r="G225" t="inlineStr">
        <is>
          <t xml:space="preserve"> 30 17/09/2026 -</t>
        </is>
      </c>
      <c r="J225" t="inlineStr">
        <is>
          <t xml:space="preserve"> 11/09/2026 -</t>
        </is>
      </c>
      <c r="L225" t="inlineStr">
        <is>
          <t xml:space="preserve">  -</t>
        </is>
      </c>
      <c r="M225" t="inlineStr">
        <is>
          <t xml:space="preserve"> 11/09/2026 -</t>
        </is>
      </c>
      <c r="N225" t="n">
        <v>71</v>
      </c>
      <c r="O225" t="inlineStr">
        <is>
          <t>DE ACUERDOS</t>
        </is>
      </c>
      <c r="P225" t="inlineStr">
        <is>
          <t>11/09/2026</t>
        </is>
      </c>
    </row>
    <row r="226">
      <c r="A226" t="inlineStr">
        <is>
          <t>PE</t>
        </is>
      </c>
      <c r="B226">
        <f>HYPERLINK("https://www.senado.gob.ar/parlamentario/comisiones/verExp/303.26/PE/AC","303")</f>
        <v/>
      </c>
      <c r="C226">
        <f>HYPERLINK("https://www.senado.gob.ar/parlamentario/comisiones/verExp/303.26/PE/AC","2026")</f>
        <v/>
      </c>
      <c r="D226" t="inlineStr">
        <is>
          <t>AC</t>
        </is>
      </c>
      <c r="E226" t="inlineStr">
        <is>
          <t>MENSAJE N° 272/26 QUE SOLICITA ACUERDO PARA DESIGNAR VOCAL DE LA CAMARA NACIONAL DE APELACIONES DEL TRABAJO DE LA CAPITAL FEDERAL, SALA VIII, A LA DRA. ROSALIA ROMERO.</t>
        </is>
      </c>
      <c r="G226" t="inlineStr">
        <is>
          <t xml:space="preserve"> 30 17/09/2026 -</t>
        </is>
      </c>
      <c r="J226" t="inlineStr">
        <is>
          <t xml:space="preserve"> 11/09/2026 -</t>
        </is>
      </c>
      <c r="L226" t="inlineStr">
        <is>
          <t xml:space="preserve">  -</t>
        </is>
      </c>
      <c r="M226" t="inlineStr">
        <is>
          <t xml:space="preserve"> 11/09/2026 -</t>
        </is>
      </c>
      <c r="N226" t="n">
        <v>71</v>
      </c>
      <c r="O226" t="inlineStr">
        <is>
          <t>DE ACUERDOS</t>
        </is>
      </c>
      <c r="P226" t="inlineStr">
        <is>
          <t>11/09/2026</t>
        </is>
      </c>
    </row>
    <row r="227">
      <c r="A227" t="inlineStr">
        <is>
          <t>PE</t>
        </is>
      </c>
      <c r="B227">
        <f>HYPERLINK("https://www.senado.gob.ar/parlamentario/comisiones/verExp/302.26/PE/AC","302")</f>
        <v/>
      </c>
      <c r="C227">
        <f>HYPERLINK("https://www.senado.gob.ar/parlamentario/comisiones/verExp/302.26/PE/AC","2026")</f>
        <v/>
      </c>
      <c r="D227" t="inlineStr">
        <is>
          <t>AC</t>
        </is>
      </c>
      <c r="E227" t="inlineStr">
        <is>
          <t>MENSAJE N° 271/26 QUE SOLICITA ACUERDO PARA DESIGNAR JUEZ DE CAMARA DEL TRIBUNAL ORAL EN LO CRIMINAL Y CORRECCIONAL N° 26 DE LA CAPITAL FEDERAL, AL DR. EDUARDO ANIBAL AGUAYO.</t>
        </is>
      </c>
      <c r="G227" t="inlineStr">
        <is>
          <t xml:space="preserve"> 30 17/09/2026 -</t>
        </is>
      </c>
      <c r="J227" t="inlineStr">
        <is>
          <t xml:space="preserve"> 11/09/2026 -</t>
        </is>
      </c>
      <c r="L227" t="inlineStr">
        <is>
          <t xml:space="preserve">  -</t>
        </is>
      </c>
      <c r="M227" t="inlineStr">
        <is>
          <t xml:space="preserve"> 11/09/2026 -</t>
        </is>
      </c>
      <c r="N227" t="n">
        <v>71</v>
      </c>
      <c r="O227" t="inlineStr">
        <is>
          <t>DE ACUERDOS</t>
        </is>
      </c>
      <c r="P227" t="inlineStr">
        <is>
          <t>11/09/2026</t>
        </is>
      </c>
    </row>
    <row r="228">
      <c r="A228" t="inlineStr">
        <is>
          <t>PE</t>
        </is>
      </c>
      <c r="B228">
        <f>HYPERLINK("https://www.senado.gob.ar/parlamentario/comisiones/verExp/301.26/PE/AC","301")</f>
        <v/>
      </c>
      <c r="C228">
        <f>HYPERLINK("https://www.senado.gob.ar/parlamentario/comisiones/verExp/301.26/PE/AC","2026")</f>
        <v/>
      </c>
      <c r="D228" t="inlineStr">
        <is>
          <t>AC</t>
        </is>
      </c>
      <c r="E228" t="inlineStr">
        <is>
          <t>MENSAJE N° 270/26 QUE SOLICITA ACUERDO PARA DESIGNAR VOCAL DE LA CAMARA NACIONAL DE APELACIONES EN LO CIVIL Y COMERCIAL FEDERAL DE LA CAPITAL FEDERAL, SALA III, AL DR. CAMILO JORGE ALMEIDA PONS.</t>
        </is>
      </c>
      <c r="G228" t="inlineStr">
        <is>
          <t xml:space="preserve"> 30 17/09/2026 -</t>
        </is>
      </c>
      <c r="J228" t="inlineStr">
        <is>
          <t xml:space="preserve"> 11/09/2026 -</t>
        </is>
      </c>
      <c r="L228" t="inlineStr">
        <is>
          <t xml:space="preserve">  -</t>
        </is>
      </c>
      <c r="M228" t="inlineStr">
        <is>
          <t xml:space="preserve"> 11/09/2026 -</t>
        </is>
      </c>
      <c r="N228" t="n">
        <v>71</v>
      </c>
      <c r="O228" t="inlineStr">
        <is>
          <t>DE ACUERDOS</t>
        </is>
      </c>
      <c r="P228" t="inlineStr">
        <is>
          <t>11/09/2026</t>
        </is>
      </c>
    </row>
    <row r="229">
      <c r="A229" t="inlineStr">
        <is>
          <t>PE</t>
        </is>
      </c>
      <c r="B229">
        <f>HYPERLINK("https://www.senado.gob.ar/parlamentario/comisiones/verExp/300.26/PE/AC","300")</f>
        <v/>
      </c>
      <c r="C229">
        <f>HYPERLINK("https://www.senado.gob.ar/parlamentario/comisiones/verExp/300.26/PE/AC","2026")</f>
        <v/>
      </c>
      <c r="D229" t="inlineStr">
        <is>
          <t>AC</t>
        </is>
      </c>
      <c r="E229" t="inlineStr">
        <is>
          <t>MENSAJE N° 269/26 QUE SOLICITA ACUERDO PARA DESIGNAR VOCAL DE LA CAMARA NACIONAL DE APELACIONES EN LO CIVIL Y COMERCIAL FEDERAL DE LA CAPITAL FEDERAL SALA II, AL DR. ALEJANDRO JORGE NOBILI.</t>
        </is>
      </c>
      <c r="G229" t="inlineStr">
        <is>
          <t xml:space="preserve"> 30 17/09/2026 -</t>
        </is>
      </c>
      <c r="J229" t="inlineStr">
        <is>
          <t xml:space="preserve"> 11/09/2026 -</t>
        </is>
      </c>
      <c r="L229" t="inlineStr">
        <is>
          <t xml:space="preserve">  -</t>
        </is>
      </c>
      <c r="M229" t="inlineStr">
        <is>
          <t xml:space="preserve"> 11/09/2026 -</t>
        </is>
      </c>
      <c r="N229" t="n">
        <v>71</v>
      </c>
      <c r="O229" t="inlineStr">
        <is>
          <t>DE ACUERDOS</t>
        </is>
      </c>
      <c r="P229" t="inlineStr">
        <is>
          <t>11/09/2026</t>
        </is>
      </c>
    </row>
    <row r="230">
      <c r="A230" t="inlineStr">
        <is>
          <t>PE</t>
        </is>
      </c>
      <c r="B230">
        <f>HYPERLINK("https://www.senado.gob.ar/parlamentario/comisiones/verExp/312.26/PE/AC","312")</f>
        <v/>
      </c>
      <c r="C230">
        <f>HYPERLINK("https://www.senado.gob.ar/parlamentario/comisiones/verExp/312.26/PE/AC","2026")</f>
        <v/>
      </c>
      <c r="D230" t="inlineStr">
        <is>
          <t>AC</t>
        </is>
      </c>
      <c r="E230" t="inlineStr">
        <is>
          <t>MENSAJE N° 280/26 QUE SOLICITA ACUERDO PARA DESIGNAR FISCAL FEDERAL DE LA UNIDAD FISCAL MENDOZA, PROVINCIA DE MENDOZA, AL DR. PABLO GARCIARENA.</t>
        </is>
      </c>
      <c r="G230" t="inlineStr">
        <is>
          <t xml:space="preserve"> 31  -</t>
        </is>
      </c>
      <c r="J230" t="inlineStr">
        <is>
          <t xml:space="preserve"> 28/09/2026 -</t>
        </is>
      </c>
      <c r="L230" t="inlineStr">
        <is>
          <t xml:space="preserve">  -</t>
        </is>
      </c>
      <c r="M230" t="inlineStr">
        <is>
          <t xml:space="preserve"> 28/09/2026 -</t>
        </is>
      </c>
      <c r="N230" t="n">
        <v>71</v>
      </c>
      <c r="O230" t="inlineStr">
        <is>
          <t>DE ACUERDOS</t>
        </is>
      </c>
      <c r="P230" t="inlineStr">
        <is>
          <t>28/09/2026</t>
        </is>
      </c>
    </row>
    <row r="231">
      <c r="A231" t="inlineStr">
        <is>
          <t>PE</t>
        </is>
      </c>
      <c r="B231">
        <f>HYPERLINK("https://www.senado.gob.ar/parlamentario/comisiones/verExp/311.26/PE/AC","311")</f>
        <v/>
      </c>
      <c r="C231">
        <f>HYPERLINK("https://www.senado.gob.ar/parlamentario/comisiones/verExp/311.26/PE/AC","2026")</f>
        <v/>
      </c>
      <c r="D231" t="inlineStr">
        <is>
          <t>AC</t>
        </is>
      </c>
      <c r="E231" t="inlineStr">
        <is>
          <t>MENSAJE N° 279/26 QUE SOLICITA ACUERDO PARA DESIGNAR JUEZA DE CAMARA DEL TRIBUNAL ORAL EN LO CRIMINAL Y CORRECCIONAL N° 22 DE LA CAPITAL FEDERAL, A LA DRA. LAURA BELLOQUI.</t>
        </is>
      </c>
      <c r="G231" t="inlineStr">
        <is>
          <t xml:space="preserve"> 31  -</t>
        </is>
      </c>
      <c r="J231" t="inlineStr">
        <is>
          <t xml:space="preserve"> 28/09/2026 -</t>
        </is>
      </c>
      <c r="L231" t="inlineStr">
        <is>
          <t xml:space="preserve">  -</t>
        </is>
      </c>
      <c r="M231" t="inlineStr">
        <is>
          <t xml:space="preserve"> 28/09/2026 -</t>
        </is>
      </c>
      <c r="N231" t="n">
        <v>71</v>
      </c>
      <c r="O231" t="inlineStr">
        <is>
          <t>DE ACUERDOS</t>
        </is>
      </c>
      <c r="P231" t="inlineStr">
        <is>
          <t>28/09/2026</t>
        </is>
      </c>
    </row>
    <row r="232">
      <c r="A232" t="inlineStr">
        <is>
          <t>PE</t>
        </is>
      </c>
      <c r="B232">
        <f>HYPERLINK("https://www.senado.gob.ar/parlamentario/comisiones/verExp/310.26/PE/AC","310")</f>
        <v/>
      </c>
      <c r="C232">
        <f>HYPERLINK("https://www.senado.gob.ar/parlamentario/comisiones/verExp/310.26/PE/AC","2026")</f>
        <v/>
      </c>
      <c r="D232" t="inlineStr">
        <is>
          <t>AC</t>
        </is>
      </c>
      <c r="E232" t="inlineStr">
        <is>
          <t>MENSAJE N° 278/26 QUE SOLICITA ACUERDO PARA DESIGNAR JUEZ DEL JUZGADO FEDERAL DE PRIMERA INSTANCIA N° 1 DE CORRIENTES, PROVINCIA DE CORRIENTES, AL DR. JUAN CARLOS VALLEJOS.</t>
        </is>
      </c>
      <c r="G232" t="inlineStr">
        <is>
          <t xml:space="preserve"> 31  -</t>
        </is>
      </c>
      <c r="J232" t="inlineStr">
        <is>
          <t xml:space="preserve"> 28/09/2026 -</t>
        </is>
      </c>
      <c r="L232" t="inlineStr">
        <is>
          <t xml:space="preserve">  -</t>
        </is>
      </c>
      <c r="M232" t="inlineStr">
        <is>
          <t xml:space="preserve"> 28/09/2026 -</t>
        </is>
      </c>
      <c r="N232" t="n">
        <v>71</v>
      </c>
      <c r="O232" t="inlineStr">
        <is>
          <t>DE ACUERDOS</t>
        </is>
      </c>
      <c r="P232" t="inlineStr">
        <is>
          <t>28/09/2026</t>
        </is>
      </c>
    </row>
    <row r="233">
      <c r="A233" t="inlineStr">
        <is>
          <t>PE</t>
        </is>
      </c>
      <c r="B233">
        <f>HYPERLINK("https://www.senado.gob.ar/parlamentario/comisiones/verExp/309.26/PE/AC","309")</f>
        <v/>
      </c>
      <c r="C233">
        <f>HYPERLINK("https://www.senado.gob.ar/parlamentario/comisiones/verExp/309.26/PE/AC","2026")</f>
        <v/>
      </c>
      <c r="D233" t="inlineStr">
        <is>
          <t>AC</t>
        </is>
      </c>
      <c r="E233" t="inlineStr">
        <is>
          <t>MENSAJE N° 277/26 QUE SOLICITA ACUERDO PARA DESIGNAR DEFENSORA PUBLICA OFICIAL ANTE LOS JUZGADOS Y CAMARA NACIONAL DE APELACIONES EN LO CIVIL, COMERCIAL Y DEL TRABAJO DE LA CAPITAL FEDERAL, DEFENSORIA N° 4, A LA DRA. ANALIA ISABEL CASCONE.</t>
        </is>
      </c>
      <c r="G233" t="inlineStr">
        <is>
          <t xml:space="preserve"> 31  -</t>
        </is>
      </c>
      <c r="J233" t="inlineStr">
        <is>
          <t xml:space="preserve"> 28/09/2026 -</t>
        </is>
      </c>
      <c r="L233" t="inlineStr">
        <is>
          <t xml:space="preserve">  -</t>
        </is>
      </c>
      <c r="M233" t="inlineStr">
        <is>
          <t xml:space="preserve"> 28/09/2026 -</t>
        </is>
      </c>
      <c r="N233" t="n">
        <v>71</v>
      </c>
      <c r="O233" t="inlineStr">
        <is>
          <t>DE ACUERDOS</t>
        </is>
      </c>
      <c r="P233" t="inlineStr">
        <is>
          <t>28/09/2026</t>
        </is>
      </c>
    </row>
    <row r="234">
      <c r="A234" t="inlineStr">
        <is>
          <t>PE</t>
        </is>
      </c>
      <c r="B234">
        <f>HYPERLINK("https://www.senado.gob.ar/parlamentario/comisiones/verExp/308.26/PE/AC","308")</f>
        <v/>
      </c>
      <c r="C234">
        <f>HYPERLINK("https://www.senado.gob.ar/parlamentario/comisiones/verExp/308.26/PE/AC","2026")</f>
        <v/>
      </c>
      <c r="D234" t="inlineStr">
        <is>
          <t>AC</t>
        </is>
      </c>
      <c r="E234" t="inlineStr">
        <is>
          <t>MENSAJE N° 276/26 QUE SOLICITA ACUERDO PARA DESIGNAR JUEZ DEL JUZGADO FEDERAL DE PRIMERA INSTANCIA N° 1 DE SAN JUAN, PROVINCIA DE SAN JUAN, AL DR. GONZALO LUIS GASSULL.</t>
        </is>
      </c>
      <c r="G234" t="inlineStr">
        <is>
          <t xml:space="preserve"> 31  -</t>
        </is>
      </c>
      <c r="J234" t="inlineStr">
        <is>
          <t xml:space="preserve"> 28/09/2026 -</t>
        </is>
      </c>
      <c r="L234" t="inlineStr">
        <is>
          <t xml:space="preserve">  -</t>
        </is>
      </c>
      <c r="M234" t="inlineStr">
        <is>
          <t xml:space="preserve"> 28/09/2026 -</t>
        </is>
      </c>
      <c r="N234" t="n">
        <v>71</v>
      </c>
      <c r="O234" t="inlineStr">
        <is>
          <t>DE ACUERDOS</t>
        </is>
      </c>
      <c r="P234" t="inlineStr">
        <is>
          <t>28/09/2026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2026-09-09T16:11:36Z</dcterms:created>
  <dcterms:modified xmlns:dcterms="http://purl.org/dc/terms/" xmlns:xsi="http://www.w3.org/2001/XMLSchema-instance" xsi:type="dcterms:W3CDTF">2026-10-28T16:15:06Z</dcterms:modified>
</cp:coreProperties>
</file>